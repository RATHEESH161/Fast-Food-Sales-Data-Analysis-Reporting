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fea115fa6088f/Desktop/"/>
    </mc:Choice>
  </mc:AlternateContent>
  <xr:revisionPtr revIDLastSave="0" documentId="8_{2C61C7C9-E1F7-404E-B4D8-E8A47D5D5B25}" xr6:coauthVersionLast="47" xr6:coauthVersionMax="47" xr10:uidLastSave="{00000000-0000-0000-0000-000000000000}"/>
  <bookViews>
    <workbookView xWindow="-120" yWindow="-120" windowWidth="20730" windowHeight="11040" xr2:uid="{318E2A07-3A82-4C8A-81DB-229468AF8CF7}"/>
  </bookViews>
  <sheets>
    <sheet name="DashBoards" sheetId="3" r:id="rId1"/>
    <sheet name="Sheet2" sheetId="5" r:id="rId2"/>
    <sheet name="Sheet3" sheetId="7" r:id="rId3"/>
  </sheets>
  <definedNames>
    <definedName name="quantity">#REF!</definedName>
    <definedName name="rate">#REF!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7" l="1"/>
  <c r="B9" i="7"/>
  <c r="B10" i="7"/>
  <c r="B11" i="7"/>
  <c r="B12" i="7"/>
  <c r="B5" i="7"/>
  <c r="B6" i="7"/>
  <c r="B7" i="7"/>
  <c r="B4" i="7"/>
  <c r="B13" i="7" l="1"/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</calcChain>
</file>

<file path=xl/sharedStrings.xml><?xml version="1.0" encoding="utf-8"?>
<sst xmlns="http://schemas.openxmlformats.org/spreadsheetml/2006/main" count="437" uniqueCount="55">
  <si>
    <t>order_id</t>
  </si>
  <si>
    <t>date</t>
  </si>
  <si>
    <t>product</t>
  </si>
  <si>
    <t>price</t>
  </si>
  <si>
    <t>quantity</t>
  </si>
  <si>
    <t>payment_method</t>
  </si>
  <si>
    <t>burgers</t>
  </si>
  <si>
    <t>credit card</t>
  </si>
  <si>
    <t>cash</t>
  </si>
  <si>
    <t>debit card</t>
  </si>
  <si>
    <t>drinks</t>
  </si>
  <si>
    <t>sides and other</t>
  </si>
  <si>
    <t>hot dogs</t>
  </si>
  <si>
    <t>pizzas</t>
  </si>
  <si>
    <t>gift card</t>
  </si>
  <si>
    <t>Column1</t>
  </si>
  <si>
    <t>Los Angeles</t>
  </si>
  <si>
    <t>Lena Marlowe</t>
  </si>
  <si>
    <t>New York</t>
  </si>
  <si>
    <t>Sara Williams</t>
  </si>
  <si>
    <t>San Francisco</t>
  </si>
  <si>
    <t>Jamal River</t>
  </si>
  <si>
    <t>Boston</t>
  </si>
  <si>
    <t>Tasha Nguyen</t>
  </si>
  <si>
    <t>Miami</t>
  </si>
  <si>
    <t>Maria Rodriguez</t>
  </si>
  <si>
    <t>Chicago</t>
  </si>
  <si>
    <t>Michael Johnson</t>
  </si>
  <si>
    <t>Atlanta</t>
  </si>
  <si>
    <t>Davis</t>
  </si>
  <si>
    <t>Elliot Brooks</t>
  </si>
  <si>
    <t>Garcia</t>
  </si>
  <si>
    <t>Priya Desai</t>
  </si>
  <si>
    <t>Anna Davis</t>
  </si>
  <si>
    <t>San Diego</t>
  </si>
  <si>
    <t>Robert Garcia</t>
  </si>
  <si>
    <t>Manager</t>
  </si>
  <si>
    <t>City</t>
  </si>
  <si>
    <t>Revenue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</si>
  <si>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</si>
  <si>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</si>
  <si>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</si>
  <si>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</si>
  <si>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</si>
  <si>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</si>
  <si>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</si>
  <si>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</si>
  <si>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</si>
  <si>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</si>
  <si>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</si>
  <si>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</si>
  <si>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</si>
  <si>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</si>
  <si>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Sum of Revenue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</si>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</sst>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11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learning.xlsx]Sheet2!PivotTable2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Sheet2!$B$3:$B$11</c:f>
              <c:strCache>
                <c:ptCount val="9"/>
                <c:pt idx="0">
                  <c:v>01-01-2023</c:v>
                </c:pt>
                <c:pt idx="1">
                  <c:v>02-01-2023</c:v>
                </c:pt>
                <c:pt idx="2">
                  <c:v>03-01-2023</c:v>
                </c:pt>
                <c:pt idx="3">
                  <c:v>04-01-2023</c:v>
                </c:pt>
                <c:pt idx="4">
                  <c:v>05-01-2023</c:v>
                </c:pt>
                <c:pt idx="5">
                  <c:v>06-01-2023</c:v>
                </c:pt>
                <c:pt idx="6">
                  <c:v>07-01-2023</c:v>
                </c:pt>
                <c:pt idx="7">
                  <c:v>08-01-2023</c:v>
                </c:pt>
                <c:pt idx="8">
                  <c:v>09-01-2023</c:v>
                </c:pt>
              </c:strCache>
            </c:strRef>
          </c:cat>
          <c:val>
            <c:numRef>
              <c:f>Sheet2!$C$3:$C$11</c:f>
              <c:numCache>
                <c:formatCode>#,##0</c:formatCode>
                <c:ptCount val="9"/>
                <c:pt idx="0">
                  <c:v>58043.569999999992</c:v>
                </c:pt>
                <c:pt idx="1">
                  <c:v>41602.559999999998</c:v>
                </c:pt>
                <c:pt idx="2">
                  <c:v>46342.080000000002</c:v>
                </c:pt>
                <c:pt idx="3">
                  <c:v>44815.71</c:v>
                </c:pt>
                <c:pt idx="4">
                  <c:v>47935.9</c:v>
                </c:pt>
                <c:pt idx="5">
                  <c:v>42957.090000000004</c:v>
                </c:pt>
                <c:pt idx="6">
                  <c:v>46031.990000000013</c:v>
                </c:pt>
                <c:pt idx="7">
                  <c:v>41363.47</c:v>
                </c:pt>
                <c:pt idx="8">
                  <c:v>46511.5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0-4299-A2C0-5945A551D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576208"/>
        <c:axId val="948176112"/>
      </c:lineChart>
      <c:catAx>
        <c:axId val="121557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176112"/>
        <c:crosses val="autoZero"/>
        <c:auto val="1"/>
        <c:lblAlgn val="ctr"/>
        <c:lblOffset val="100"/>
        <c:noMultiLvlLbl val="0"/>
      </c:catAx>
      <c:valAx>
        <c:axId val="94817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7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learning.xlsx]Sheet2!PivotTable3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Sheet2!$B$20:$B$27</c:f>
              <c:strCache>
                <c:ptCount val="8"/>
                <c:pt idx="0">
                  <c:v>New York</c:v>
                </c:pt>
                <c:pt idx="1">
                  <c:v>Miami</c:v>
                </c:pt>
                <c:pt idx="2">
                  <c:v>San Francisco</c:v>
                </c:pt>
                <c:pt idx="3">
                  <c:v>Boston</c:v>
                </c:pt>
                <c:pt idx="4">
                  <c:v>Los Angeles</c:v>
                </c:pt>
                <c:pt idx="5">
                  <c:v>Chicago</c:v>
                </c:pt>
                <c:pt idx="6">
                  <c:v>Atlanta</c:v>
                </c:pt>
                <c:pt idx="7">
                  <c:v>San Diego</c:v>
                </c:pt>
              </c:strCache>
            </c:strRef>
          </c:cat>
          <c:val>
            <c:numRef>
              <c:f>Sheet2!$C$20:$C$27</c:f>
              <c:numCache>
                <c:formatCode>#,##0</c:formatCode>
                <c:ptCount val="8"/>
                <c:pt idx="0">
                  <c:v>86303.44</c:v>
                </c:pt>
                <c:pt idx="1">
                  <c:v>81430.37</c:v>
                </c:pt>
                <c:pt idx="2">
                  <c:v>80083.91</c:v>
                </c:pt>
                <c:pt idx="3">
                  <c:v>54360.659999999996</c:v>
                </c:pt>
                <c:pt idx="4">
                  <c:v>50209.38</c:v>
                </c:pt>
                <c:pt idx="5">
                  <c:v>32658.83</c:v>
                </c:pt>
                <c:pt idx="6">
                  <c:v>23523.630000000005</c:v>
                </c:pt>
                <c:pt idx="7">
                  <c:v>7033.65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E-438F-B2A0-82A0EBF0CB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5621680"/>
        <c:axId val="948102672"/>
      </c:barChart>
      <c:catAx>
        <c:axId val="121562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102672"/>
        <c:crosses val="autoZero"/>
        <c:auto val="1"/>
        <c:lblAlgn val="ctr"/>
        <c:lblOffset val="100"/>
        <c:noMultiLvlLbl val="0"/>
      </c:catAx>
      <c:valAx>
        <c:axId val="9481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62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4762</xdr:rowOff>
    </xdr:from>
    <xdr:to>
      <xdr:col>9</xdr:col>
      <xdr:colOff>219075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33187-FD16-FB31-1707-FEE837DB5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16</xdr:row>
      <xdr:rowOff>23812</xdr:rowOff>
    </xdr:from>
    <xdr:to>
      <xdr:col>10</xdr:col>
      <xdr:colOff>219075</xdr:colOff>
      <xdr:row>30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8FE94A-4420-89D9-CB53-B9E00AA29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99.849582870367" createdVersion="8" refreshedVersion="8" minRefreshableVersion="3" recordCount="100" xr:uid="{80E2C72D-5580-4F70-84D3-574D13317B13}">
  <cacheSource type="worksheet">
    <worksheetSource name="Orders"/>
  </cacheSource>
  <cacheFields count="9">
    <cacheField name="order_id" numFmtId="0">
      <sharedItems containsSemiMixedTypes="0" containsString="0" containsNumber="1" containsInteger="1" minValue="1" maxValue="100"/>
    </cacheField>
    <cacheField name="date" numFmtId="14">
      <sharedItems containsSemiMixedTypes="0" containsNonDate="0" containsDate="1" containsString="0" minDate="2023-01-01T00:00:00" maxDate="2023-01-10T00:00:00" count="9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</sharedItems>
    </cacheField>
    <cacheField name="product" numFmtId="0">
      <sharedItems count="5">
        <s v="burgers"/>
        <s v="drinks"/>
        <s v="sides and other"/>
        <s v="hot dogs"/>
        <s v="pizzas"/>
      </sharedItems>
    </cacheField>
    <cacheField name="price" numFmtId="0">
      <sharedItems containsSemiMixedTypes="0" containsString="0" containsNumber="1" minValue="1.99" maxValue="14.99"/>
    </cacheField>
    <cacheField name="quantity" numFmtId="0">
      <sharedItems containsSemiMixedTypes="0" containsString="0" containsNumber="1" containsInteger="1" minValue="132" maxValue="880"/>
    </cacheField>
    <cacheField name="payment_method" numFmtId="0">
      <sharedItems/>
    </cacheField>
    <cacheField name="Manager" numFmtId="0">
      <sharedItems/>
    </cacheField>
    <cacheField name="City" numFmtId="0">
      <sharedItems count="8">
        <s v="New York"/>
        <s v="San Francisco"/>
        <s v="Los Angeles"/>
        <s v="Miami"/>
        <s v="Atlanta"/>
        <s v="San Diego"/>
        <s v="Boston"/>
        <s v="Chicago"/>
      </sharedItems>
    </cacheField>
    <cacheField name="Revenue" numFmtId="0">
      <sharedItems containsSemiMixedTypes="0" containsString="0" containsNumber="1" minValue="489.54" maxValue="11887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n v="14.99"/>
    <n v="132"/>
    <s v="credit card"/>
    <s v="Garcia"/>
    <x v="0"/>
    <n v="1978.68"/>
  </r>
  <r>
    <n v="2"/>
    <x v="0"/>
    <x v="0"/>
    <n v="14.99"/>
    <n v="145"/>
    <s v="cash"/>
    <s v="Michael Johnson"/>
    <x v="1"/>
    <n v="2173.5500000000002"/>
  </r>
  <r>
    <n v="3"/>
    <x v="0"/>
    <x v="0"/>
    <n v="14.99"/>
    <n v="793"/>
    <s v="debit card"/>
    <s v="Elliot Brooks"/>
    <x v="2"/>
    <n v="11887.07"/>
  </r>
  <r>
    <n v="4"/>
    <x v="0"/>
    <x v="1"/>
    <n v="3.99"/>
    <n v="492"/>
    <s v="cash"/>
    <s v="Maria Rodriguez"/>
    <x v="3"/>
    <n v="1963.0800000000002"/>
  </r>
  <r>
    <n v="5"/>
    <x v="0"/>
    <x v="2"/>
    <n v="1.99"/>
    <n v="852"/>
    <s v="debit card"/>
    <s v="Elliot Brooks"/>
    <x v="4"/>
    <n v="1695.48"/>
  </r>
  <r>
    <n v="6"/>
    <x v="0"/>
    <x v="2"/>
    <n v="1.99"/>
    <n v="676"/>
    <s v="credit card"/>
    <s v="Elliot Brooks"/>
    <x v="3"/>
    <n v="1345.24"/>
  </r>
  <r>
    <n v="7"/>
    <x v="0"/>
    <x v="1"/>
    <n v="3.99"/>
    <n v="568"/>
    <s v="cash"/>
    <s v="Robert Garcia"/>
    <x v="5"/>
    <n v="2266.3200000000002"/>
  </r>
  <r>
    <n v="8"/>
    <x v="0"/>
    <x v="3"/>
    <n v="6.99"/>
    <n v="611"/>
    <s v="debit card"/>
    <s v="Davis"/>
    <x v="1"/>
    <n v="4270.8900000000003"/>
  </r>
  <r>
    <n v="9"/>
    <x v="0"/>
    <x v="4"/>
    <n v="12.99"/>
    <n v="274"/>
    <s v="debit card"/>
    <s v="Priya Desai"/>
    <x v="0"/>
    <n v="3559.26"/>
  </r>
  <r>
    <n v="10"/>
    <x v="0"/>
    <x v="3"/>
    <n v="6.99"/>
    <n v="880"/>
    <s v="debit card"/>
    <s v="Jamal River"/>
    <x v="3"/>
    <n v="6151.2"/>
  </r>
  <r>
    <n v="11"/>
    <x v="0"/>
    <x v="3"/>
    <n v="6.99"/>
    <n v="880"/>
    <s v="debit card"/>
    <s v="Jamal River"/>
    <x v="3"/>
    <n v="6151.2"/>
  </r>
  <r>
    <n v="12"/>
    <x v="0"/>
    <x v="3"/>
    <n v="6.99"/>
    <n v="675"/>
    <s v="debit card"/>
    <s v="Michael Johnson"/>
    <x v="1"/>
    <n v="4718.25"/>
  </r>
  <r>
    <n v="13"/>
    <x v="0"/>
    <x v="2"/>
    <n v="1.99"/>
    <n v="488"/>
    <s v="gift card"/>
    <s v="Maria Rodriguez"/>
    <x v="1"/>
    <n v="971.12"/>
  </r>
  <r>
    <n v="14"/>
    <x v="0"/>
    <x v="2"/>
    <n v="1.99"/>
    <n v="441"/>
    <s v="gift card"/>
    <s v="Tasha Nguyen"/>
    <x v="3"/>
    <n v="877.59"/>
  </r>
  <r>
    <n v="15"/>
    <x v="0"/>
    <x v="0"/>
    <n v="14.99"/>
    <n v="536"/>
    <s v="debit card"/>
    <s v="Tasha Nguyen"/>
    <x v="0"/>
    <n v="8034.64"/>
  </r>
  <r>
    <n v="16"/>
    <x v="1"/>
    <x v="0"/>
    <n v="14.99"/>
    <n v="501"/>
    <s v="debit card"/>
    <s v="Maria Rodriguez"/>
    <x v="4"/>
    <n v="7509.99"/>
  </r>
  <r>
    <n v="17"/>
    <x v="1"/>
    <x v="4"/>
    <n v="12.99"/>
    <n v="177"/>
    <s v="cash"/>
    <s v="Sara Williams"/>
    <x v="1"/>
    <n v="2299.23"/>
  </r>
  <r>
    <n v="18"/>
    <x v="1"/>
    <x v="2"/>
    <n v="1.99"/>
    <n v="343"/>
    <s v="credit card"/>
    <s v="Lena Marlowe"/>
    <x v="3"/>
    <n v="682.57"/>
  </r>
  <r>
    <n v="19"/>
    <x v="1"/>
    <x v="2"/>
    <n v="1.99"/>
    <n v="690"/>
    <s v="debit card"/>
    <s v="Anna Davis"/>
    <x v="2"/>
    <n v="1373.1"/>
  </r>
  <r>
    <n v="20"/>
    <x v="1"/>
    <x v="1"/>
    <n v="3.99"/>
    <n v="192"/>
    <s v="cash"/>
    <s v="Priya Desai"/>
    <x v="3"/>
    <n v="766.08"/>
  </r>
  <r>
    <n v="21"/>
    <x v="1"/>
    <x v="3"/>
    <n v="6.99"/>
    <n v="178"/>
    <s v="cash"/>
    <s v="Elliot Brooks"/>
    <x v="0"/>
    <n v="1244.22"/>
  </r>
  <r>
    <n v="22"/>
    <x v="1"/>
    <x v="1"/>
    <n v="3.99"/>
    <n v="489"/>
    <s v="cash"/>
    <s v="Tasha Nguyen"/>
    <x v="6"/>
    <n v="1951.1100000000001"/>
  </r>
  <r>
    <n v="23"/>
    <x v="1"/>
    <x v="1"/>
    <n v="3.99"/>
    <n v="487"/>
    <s v="debit card"/>
    <s v="Priya Desai"/>
    <x v="2"/>
    <n v="1943.13"/>
  </r>
  <r>
    <n v="24"/>
    <x v="1"/>
    <x v="1"/>
    <n v="3.99"/>
    <n v="347"/>
    <s v="debit card"/>
    <s v="Priya Desai"/>
    <x v="2"/>
    <n v="1384.53"/>
  </r>
  <r>
    <n v="25"/>
    <x v="1"/>
    <x v="2"/>
    <n v="1.99"/>
    <n v="602"/>
    <s v="gift card"/>
    <s v="Anna Davis"/>
    <x v="7"/>
    <n v="1197.98"/>
  </r>
  <r>
    <n v="26"/>
    <x v="1"/>
    <x v="0"/>
    <n v="14.99"/>
    <n v="445"/>
    <s v="credit card"/>
    <s v="Priya Desai"/>
    <x v="7"/>
    <n v="6670.55"/>
  </r>
  <r>
    <n v="27"/>
    <x v="1"/>
    <x v="4"/>
    <n v="12.99"/>
    <n v="325"/>
    <s v="cash"/>
    <s v="Garcia"/>
    <x v="0"/>
    <n v="4221.75"/>
  </r>
  <r>
    <n v="28"/>
    <x v="1"/>
    <x v="3"/>
    <n v="6.99"/>
    <n v="218"/>
    <s v="debit card"/>
    <s v="Michael Johnson"/>
    <x v="4"/>
    <n v="1523.82"/>
  </r>
  <r>
    <n v="29"/>
    <x v="1"/>
    <x v="1"/>
    <n v="3.99"/>
    <n v="764"/>
    <s v="credit card"/>
    <s v="Elliot Brooks"/>
    <x v="3"/>
    <n v="3048.36"/>
  </r>
  <r>
    <n v="30"/>
    <x v="1"/>
    <x v="0"/>
    <n v="14.99"/>
    <n v="386"/>
    <s v="debit card"/>
    <s v="Maria Rodriguez"/>
    <x v="1"/>
    <n v="5786.14"/>
  </r>
  <r>
    <n v="31"/>
    <x v="2"/>
    <x v="4"/>
    <n v="12.99"/>
    <n v="542"/>
    <s v="cash"/>
    <s v="Tasha Nguyen"/>
    <x v="2"/>
    <n v="7040.58"/>
  </r>
  <r>
    <n v="32"/>
    <x v="2"/>
    <x v="1"/>
    <n v="3.99"/>
    <n v="621"/>
    <s v="debit card"/>
    <s v="Jamal River"/>
    <x v="0"/>
    <n v="2477.79"/>
  </r>
  <r>
    <n v="33"/>
    <x v="2"/>
    <x v="3"/>
    <n v="6.99"/>
    <n v="455"/>
    <s v="credit card"/>
    <s v="Sara Williams"/>
    <x v="6"/>
    <n v="3180.4500000000003"/>
  </r>
  <r>
    <n v="34"/>
    <x v="2"/>
    <x v="0"/>
    <n v="14.99"/>
    <n v="732"/>
    <s v="cash"/>
    <s v="Lena Marlowe"/>
    <x v="3"/>
    <n v="10972.68"/>
  </r>
  <r>
    <n v="35"/>
    <x v="2"/>
    <x v="2"/>
    <n v="1.99"/>
    <n v="298"/>
    <s v="debit card"/>
    <s v="Anna Davis"/>
    <x v="7"/>
    <n v="593.02"/>
  </r>
  <r>
    <n v="36"/>
    <x v="2"/>
    <x v="1"/>
    <n v="3.99"/>
    <n v="815"/>
    <s v="gift card"/>
    <s v="Priya Desai"/>
    <x v="4"/>
    <n v="3251.8500000000004"/>
  </r>
  <r>
    <n v="37"/>
    <x v="2"/>
    <x v="4"/>
    <n v="12.99"/>
    <n v="367"/>
    <s v="cash"/>
    <s v="Garcia"/>
    <x v="5"/>
    <n v="4767.33"/>
  </r>
  <r>
    <n v="38"/>
    <x v="2"/>
    <x v="3"/>
    <n v="6.99"/>
    <n v="590"/>
    <s v="debit card"/>
    <s v="Davis"/>
    <x v="1"/>
    <n v="4124.1000000000004"/>
  </r>
  <r>
    <n v="39"/>
    <x v="2"/>
    <x v="0"/>
    <n v="14.99"/>
    <n v="478"/>
    <s v="credit card"/>
    <s v="Elliot Brooks"/>
    <x v="0"/>
    <n v="7165.22"/>
  </r>
  <r>
    <n v="40"/>
    <x v="2"/>
    <x v="1"/>
    <n v="3.99"/>
    <n v="694"/>
    <s v="cash"/>
    <s v="Michael Johnson"/>
    <x v="3"/>
    <n v="2769.06"/>
  </r>
  <r>
    <n v="41"/>
    <x v="3"/>
    <x v="2"/>
    <n v="1.99"/>
    <n v="521"/>
    <s v="debit card"/>
    <s v="Maria Rodriguez"/>
    <x v="2"/>
    <n v="1036.79"/>
  </r>
  <r>
    <n v="42"/>
    <x v="3"/>
    <x v="4"/>
    <n v="12.99"/>
    <n v="638"/>
    <s v="credit card"/>
    <s v="Tasha Nguyen"/>
    <x v="6"/>
    <n v="8287.6200000000008"/>
  </r>
  <r>
    <n v="43"/>
    <x v="3"/>
    <x v="0"/>
    <n v="14.99"/>
    <n v="284"/>
    <s v="cash"/>
    <s v="Jamal River"/>
    <x v="7"/>
    <n v="4257.16"/>
  </r>
  <r>
    <n v="44"/>
    <x v="3"/>
    <x v="3"/>
    <n v="6.99"/>
    <n v="746"/>
    <s v="debit card"/>
    <s v="Sara Williams"/>
    <x v="0"/>
    <n v="5214.54"/>
  </r>
  <r>
    <n v="45"/>
    <x v="3"/>
    <x v="1"/>
    <n v="3.99"/>
    <n v="413"/>
    <s v="gift card"/>
    <s v="Lena Marlowe"/>
    <x v="4"/>
    <n v="1647.8700000000001"/>
  </r>
  <r>
    <n v="46"/>
    <x v="3"/>
    <x v="0"/>
    <n v="14.99"/>
    <n v="557"/>
    <s v="credit card"/>
    <s v="Anna Davis"/>
    <x v="1"/>
    <n v="8349.43"/>
  </r>
  <r>
    <n v="47"/>
    <x v="3"/>
    <x v="4"/>
    <n v="12.99"/>
    <n v="691"/>
    <s v="debit card"/>
    <s v="Priya Desai"/>
    <x v="3"/>
    <n v="8976.09"/>
  </r>
  <r>
    <n v="48"/>
    <x v="3"/>
    <x v="2"/>
    <n v="1.99"/>
    <n v="329"/>
    <s v="cash"/>
    <s v="Garcia"/>
    <x v="2"/>
    <n v="654.71"/>
  </r>
  <r>
    <n v="49"/>
    <x v="3"/>
    <x v="1"/>
    <n v="3.99"/>
    <n v="782"/>
    <s v="debit card"/>
    <s v="Elliot Brooks"/>
    <x v="0"/>
    <n v="3120.1800000000003"/>
  </r>
  <r>
    <n v="50"/>
    <x v="3"/>
    <x v="3"/>
    <n v="6.99"/>
    <n v="468"/>
    <s v="credit card"/>
    <s v="Davis"/>
    <x v="7"/>
    <n v="3271.32"/>
  </r>
  <r>
    <n v="51"/>
    <x v="4"/>
    <x v="0"/>
    <n v="14.99"/>
    <n v="615"/>
    <s v="cash"/>
    <s v="Michael Johnson"/>
    <x v="6"/>
    <n v="9218.85"/>
  </r>
  <r>
    <n v="52"/>
    <x v="4"/>
    <x v="1"/>
    <n v="3.99"/>
    <n v="342"/>
    <s v="debit card"/>
    <s v="Maria Rodriguez"/>
    <x v="3"/>
    <n v="1364.5800000000002"/>
  </r>
  <r>
    <n v="53"/>
    <x v="4"/>
    <x v="4"/>
    <n v="12.99"/>
    <n v="729"/>
    <s v="credit card"/>
    <s v="Tasha Nguyen"/>
    <x v="0"/>
    <n v="9469.7100000000009"/>
  </r>
  <r>
    <n v="54"/>
    <x v="4"/>
    <x v="3"/>
    <n v="6.99"/>
    <n v="536"/>
    <s v="cash"/>
    <s v="Jamal River"/>
    <x v="1"/>
    <n v="3746.6400000000003"/>
  </r>
  <r>
    <n v="55"/>
    <x v="4"/>
    <x v="2"/>
    <n v="1.99"/>
    <n v="287"/>
    <s v="gift card"/>
    <s v="Sara Williams"/>
    <x v="4"/>
    <n v="571.13"/>
  </r>
  <r>
    <n v="56"/>
    <x v="4"/>
    <x v="0"/>
    <n v="14.99"/>
    <n v="654"/>
    <s v="debit card"/>
    <s v="Lena Marlowe"/>
    <x v="7"/>
    <n v="9803.4600000000009"/>
  </r>
  <r>
    <n v="57"/>
    <x v="4"/>
    <x v="1"/>
    <n v="3.99"/>
    <n v="471"/>
    <s v="cash"/>
    <s v="Anna Davis"/>
    <x v="2"/>
    <n v="1879.2900000000002"/>
  </r>
  <r>
    <n v="58"/>
    <x v="4"/>
    <x v="4"/>
    <n v="12.99"/>
    <n v="593"/>
    <s v="debit card"/>
    <s v="Priya Desai"/>
    <x v="3"/>
    <n v="7703.07"/>
  </r>
  <r>
    <n v="59"/>
    <x v="4"/>
    <x v="3"/>
    <n v="6.99"/>
    <n v="365"/>
    <s v="credit card"/>
    <s v="Garcia"/>
    <x v="6"/>
    <n v="2551.35"/>
  </r>
  <r>
    <n v="60"/>
    <x v="4"/>
    <x v="2"/>
    <n v="1.99"/>
    <n v="818"/>
    <s v="cash"/>
    <s v="Elliot Brooks"/>
    <x v="0"/>
    <n v="1627.82"/>
  </r>
  <r>
    <n v="61"/>
    <x v="5"/>
    <x v="0"/>
    <n v="14.99"/>
    <n v="439"/>
    <s v="debit card"/>
    <s v="Davis"/>
    <x v="1"/>
    <n v="6580.61"/>
  </r>
  <r>
    <n v="62"/>
    <x v="5"/>
    <x v="1"/>
    <n v="3.99"/>
    <n v="572"/>
    <s v="credit card"/>
    <s v="Michael Johnson"/>
    <x v="3"/>
    <n v="2282.2800000000002"/>
  </r>
  <r>
    <n v="63"/>
    <x v="5"/>
    <x v="4"/>
    <n v="12.99"/>
    <n v="684"/>
    <s v="cash"/>
    <s v="Maria Rodriguez"/>
    <x v="2"/>
    <n v="8885.16"/>
  </r>
  <r>
    <n v="64"/>
    <x v="5"/>
    <x v="3"/>
    <n v="6.99"/>
    <n v="257"/>
    <s v="debit card"/>
    <s v="Tasha Nguyen"/>
    <x v="7"/>
    <n v="1796.43"/>
  </r>
  <r>
    <n v="65"/>
    <x v="5"/>
    <x v="2"/>
    <n v="1.99"/>
    <n v="746"/>
    <s v="gift card"/>
    <s v="Jamal River"/>
    <x v="6"/>
    <n v="1484.54"/>
  </r>
  <r>
    <n v="66"/>
    <x v="5"/>
    <x v="0"/>
    <n v="14.99"/>
    <n v="518"/>
    <s v="cash"/>
    <s v="Sara Williams"/>
    <x v="0"/>
    <n v="7764.82"/>
  </r>
  <r>
    <n v="67"/>
    <x v="5"/>
    <x v="1"/>
    <n v="3.99"/>
    <n v="394"/>
    <s v="debit card"/>
    <s v="Lena Marlowe"/>
    <x v="4"/>
    <n v="1572.0600000000002"/>
  </r>
  <r>
    <n v="68"/>
    <x v="5"/>
    <x v="4"/>
    <n v="12.99"/>
    <n v="621"/>
    <s v="credit card"/>
    <s v="Anna Davis"/>
    <x v="1"/>
    <n v="8066.79"/>
  </r>
  <r>
    <n v="69"/>
    <x v="5"/>
    <x v="3"/>
    <n v="6.99"/>
    <n v="483"/>
    <s v="cash"/>
    <s v="Priya Desai"/>
    <x v="3"/>
    <n v="3376.17"/>
  </r>
  <r>
    <n v="70"/>
    <x v="5"/>
    <x v="2"/>
    <n v="1.99"/>
    <n v="577"/>
    <s v="debit card"/>
    <s v="Garcia"/>
    <x v="2"/>
    <n v="1148.23"/>
  </r>
  <r>
    <n v="71"/>
    <x v="6"/>
    <x v="0"/>
    <n v="14.99"/>
    <n v="692"/>
    <s v="credit card"/>
    <s v="Elliot Brooks"/>
    <x v="0"/>
    <n v="10373.08"/>
  </r>
  <r>
    <n v="72"/>
    <x v="6"/>
    <x v="1"/>
    <n v="3.99"/>
    <n v="315"/>
    <s v="cash"/>
    <s v="Davis"/>
    <x v="7"/>
    <n v="1256.8500000000001"/>
  </r>
  <r>
    <n v="73"/>
    <x v="6"/>
    <x v="4"/>
    <n v="12.99"/>
    <n v="754"/>
    <s v="debit card"/>
    <s v="Michael Johnson"/>
    <x v="6"/>
    <n v="9794.4600000000009"/>
  </r>
  <r>
    <n v="74"/>
    <x v="6"/>
    <x v="3"/>
    <n v="6.99"/>
    <n v="426"/>
    <s v="credit card"/>
    <s v="Maria Rodriguez"/>
    <x v="3"/>
    <n v="2977.7400000000002"/>
  </r>
  <r>
    <n v="75"/>
    <x v="6"/>
    <x v="2"/>
    <n v="1.99"/>
    <n v="583"/>
    <s v="cash"/>
    <s v="Tasha Nguyen"/>
    <x v="4"/>
    <n v="1160.17"/>
  </r>
  <r>
    <n v="76"/>
    <x v="6"/>
    <x v="0"/>
    <n v="14.99"/>
    <n v="471"/>
    <s v="debit card"/>
    <s v="Jamal River"/>
    <x v="1"/>
    <n v="7060.29"/>
  </r>
  <r>
    <n v="77"/>
    <x v="6"/>
    <x v="1"/>
    <n v="3.99"/>
    <n v="638"/>
    <s v="gift card"/>
    <s v="Sara Williams"/>
    <x v="0"/>
    <n v="2545.6200000000003"/>
  </r>
  <r>
    <n v="78"/>
    <x v="6"/>
    <x v="4"/>
    <n v="12.99"/>
    <n v="359"/>
    <s v="cash"/>
    <s v="Lena Marlowe"/>
    <x v="2"/>
    <n v="4663.41"/>
  </r>
  <r>
    <n v="79"/>
    <x v="6"/>
    <x v="3"/>
    <n v="6.99"/>
    <n v="817"/>
    <s v="debit card"/>
    <s v="Anna Davis"/>
    <x v="3"/>
    <n v="5710.83"/>
  </r>
  <r>
    <n v="80"/>
    <x v="6"/>
    <x v="2"/>
    <n v="1.99"/>
    <n v="246"/>
    <s v="credit card"/>
    <s v="Priya Desai"/>
    <x v="7"/>
    <n v="489.54"/>
  </r>
  <r>
    <n v="81"/>
    <x v="7"/>
    <x v="0"/>
    <n v="14.99"/>
    <n v="527"/>
    <s v="cash"/>
    <s v="Garcia"/>
    <x v="6"/>
    <n v="7899.7300000000005"/>
  </r>
  <r>
    <n v="82"/>
    <x v="7"/>
    <x v="1"/>
    <n v="3.99"/>
    <n v="681"/>
    <s v="debit card"/>
    <s v="Elliot Brooks"/>
    <x v="0"/>
    <n v="2717.19"/>
  </r>
  <r>
    <n v="83"/>
    <x v="7"/>
    <x v="4"/>
    <n v="12.99"/>
    <n v="438"/>
    <s v="credit card"/>
    <s v="Davis"/>
    <x v="1"/>
    <n v="5689.62"/>
  </r>
  <r>
    <n v="84"/>
    <x v="7"/>
    <x v="3"/>
    <n v="6.99"/>
    <n v="596"/>
    <s v="cash"/>
    <s v="Michael Johnson"/>
    <x v="3"/>
    <n v="4166.04"/>
  </r>
  <r>
    <n v="85"/>
    <x v="7"/>
    <x v="2"/>
    <n v="1.99"/>
    <n v="723"/>
    <s v="debit card"/>
    <s v="Maria Rodriguez"/>
    <x v="4"/>
    <n v="1438.77"/>
  </r>
  <r>
    <n v="86"/>
    <x v="7"/>
    <x v="0"/>
    <n v="14.99"/>
    <n v="364"/>
    <s v="gift card"/>
    <s v="Tasha Nguyen"/>
    <x v="2"/>
    <n v="5456.36"/>
  </r>
  <r>
    <n v="87"/>
    <x v="7"/>
    <x v="1"/>
    <n v="3.99"/>
    <n v="519"/>
    <s v="cash"/>
    <s v="Jamal River"/>
    <x v="7"/>
    <n v="2070.81"/>
  </r>
  <r>
    <n v="88"/>
    <x v="7"/>
    <x v="4"/>
    <n v="12.99"/>
    <n v="647"/>
    <s v="debit card"/>
    <s v="Sara Williams"/>
    <x v="6"/>
    <n v="8404.5300000000007"/>
  </r>
  <r>
    <n v="89"/>
    <x v="7"/>
    <x v="3"/>
    <n v="6.99"/>
    <n v="283"/>
    <s v="credit card"/>
    <s v="Lena Marlowe"/>
    <x v="0"/>
    <n v="1978.17"/>
  </r>
  <r>
    <n v="90"/>
    <x v="7"/>
    <x v="2"/>
    <n v="1.99"/>
    <n v="775"/>
    <s v="cash"/>
    <s v="Anna Davis"/>
    <x v="3"/>
    <n v="1542.25"/>
  </r>
  <r>
    <n v="91"/>
    <x v="8"/>
    <x v="0"/>
    <n v="14.99"/>
    <n v="492"/>
    <s v="debit card"/>
    <s v="Priya Desai"/>
    <x v="1"/>
    <n v="7375.08"/>
  </r>
  <r>
    <n v="92"/>
    <x v="8"/>
    <x v="1"/>
    <n v="3.99"/>
    <n v="336"/>
    <s v="credit card"/>
    <s v="Garcia"/>
    <x v="2"/>
    <n v="1340.64"/>
  </r>
  <r>
    <n v="93"/>
    <x v="8"/>
    <x v="4"/>
    <n v="12.99"/>
    <n v="708"/>
    <s v="cash"/>
    <s v="Elliot Brooks"/>
    <x v="0"/>
    <n v="9196.92"/>
  </r>
  <r>
    <n v="94"/>
    <x v="8"/>
    <x v="3"/>
    <n v="6.99"/>
    <n v="451"/>
    <s v="debit card"/>
    <s v="Davis"/>
    <x v="4"/>
    <n v="3152.4900000000002"/>
  </r>
  <r>
    <n v="95"/>
    <x v="8"/>
    <x v="2"/>
    <n v="1.99"/>
    <n v="629"/>
    <s v="gift card"/>
    <s v="Michael Johnson"/>
    <x v="7"/>
    <n v="1251.71"/>
  </r>
  <r>
    <n v="96"/>
    <x v="8"/>
    <x v="0"/>
    <n v="14.99"/>
    <n v="574"/>
    <s v="cash"/>
    <s v="Maria Rodriguez"/>
    <x v="3"/>
    <n v="8604.26"/>
  </r>
  <r>
    <n v="97"/>
    <x v="8"/>
    <x v="1"/>
    <n v="3.99"/>
    <n v="398"/>
    <s v="debit card"/>
    <s v="Tasha Nguyen"/>
    <x v="6"/>
    <n v="1588.02"/>
  </r>
  <r>
    <n v="98"/>
    <x v="8"/>
    <x v="4"/>
    <n v="12.99"/>
    <n v="683"/>
    <s v="credit card"/>
    <s v="Jamal River"/>
    <x v="1"/>
    <n v="8872.17"/>
  </r>
  <r>
    <n v="99"/>
    <x v="8"/>
    <x v="3"/>
    <n v="6.99"/>
    <n v="517"/>
    <s v="cash"/>
    <s v="Sara Williams"/>
    <x v="0"/>
    <n v="3613.83"/>
  </r>
  <r>
    <n v="100"/>
    <x v="8"/>
    <x v="2"/>
    <n v="1.99"/>
    <n v="762"/>
    <s v="debit card"/>
    <s v="Lena Marlowe"/>
    <x v="2"/>
    <n v="1516.37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019BB-D825-4F89-AB86-0C1CDBFD8D9B}" name="PivotTable3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B19:C27" firstHeaderRow="1" firstDataRow="1" firstDataCol="1"/>
  <pivotFields count="9">
    <pivotField showAll="0"/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axis="axisRow" showAll="0" sortType="descending">
      <items count="9">
        <item x="4"/>
        <item x="6"/>
        <item x="7"/>
        <item x="2"/>
        <item x="3"/>
        <item x="0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7"/>
  </rowFields>
  <rowItems count="8">
    <i>
      <x v="5"/>
    </i>
    <i>
      <x v="4"/>
    </i>
    <i>
      <x v="7"/>
    </i>
    <i>
      <x v="1"/>
    </i>
    <i>
      <x v="3"/>
    </i>
    <i>
      <x v="2"/>
    </i>
    <i>
      <x/>
    </i>
    <i>
      <x v="6"/>
    </i>
  </rowItems>
  <colItems count="1">
    <i/>
  </colItems>
  <dataFields count="1">
    <dataField name="Sum of Revenue" fld="8" baseField="0" baseItem="0" numFmtId="3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B5D29-4B9B-4705-B63A-F0428A199112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B2:C11" firstHeaderRow="1" firstDataRow="1" firstDataCol="1"/>
  <pivotFields count="9">
    <pivotField showAll="0"/>
    <pivotField axis="axisRow"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6">
        <item x="0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Revenue" fld="8" baseField="0" baseItem="0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DDDF1E-D128-4627-B19A-2125B1B763AC}" name="Orders" displayName="Orders" ref="A1:I101" totalsRowShown="0" headerRowDxfId="10" dataDxfId="9">
  <autoFilter ref="A1:I101" xr:uid="{DBDDDF1E-D128-4627-B19A-2125B1B763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2B2D411-9D67-4DF3-9B5D-81DBA1B629A9}" name="order_id" dataDxfId="8"/>
    <tableColumn id="2" xr3:uid="{59A67A47-E2C3-4750-B79E-C7180924B35E}" name="date" dataDxfId="7"/>
    <tableColumn id="3" xr3:uid="{604C4776-F335-4D01-BC7A-847268A53BB4}" name="product" dataDxfId="6"/>
    <tableColumn id="4" xr3:uid="{92D68C5A-F00A-4BA6-8986-C4A82BE14CA7}" name="price" dataDxfId="5"/>
    <tableColumn id="5" xr3:uid="{9E7CAEDC-53D2-4D00-9BCA-0D456A5EB317}" name="quantity" dataDxfId="4"/>
    <tableColumn id="6" xr3:uid="{221C8A4C-54D9-4A2A-BA06-3B7CD8BC0583}" name="payment_method" dataDxfId="3"/>
    <tableColumn id="10" xr3:uid="{5FB9F952-1F02-414D-8647-94EDBCC80443}" name="Manager" dataDxfId="2"/>
    <tableColumn id="11" xr3:uid="{B2E2F27D-7662-4A85-857F-AD6432BC678A}" name="City" dataDxfId="1"/>
    <tableColumn id="12" xr3:uid="{B1C9C308-BD97-4160-BBCA-22CDF2F3171E}" name="Revenue" dataDxfId="0">
      <calculatedColumnFormula>Orders[[#This Row],[price]]*Orders[[#This Row],[quantity]]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D6AD-9EF2-4260-97C4-BCBA304E0C7E}">
  <dimension ref="A1:M101"/>
  <sheetViews>
    <sheetView tabSelected="1" zoomScaleNormal="100" workbookViewId="0">
      <selection activeCell="G1" sqref="G1:G101"/>
    </sheetView>
  </sheetViews>
  <sheetFormatPr defaultRowHeight="15" x14ac:dyDescent="0.25"/>
  <cols>
    <col min="1" max="1" width="10.5703125" customWidth="1"/>
    <col min="2" max="2" width="14.85546875" bestFit="1" customWidth="1"/>
    <col min="3" max="3" width="14.7109375" bestFit="1" customWidth="1"/>
    <col min="4" max="4" width="7.7109375" customWidth="1"/>
    <col min="5" max="5" width="10.5703125" customWidth="1"/>
    <col min="6" max="6" width="18.85546875" customWidth="1"/>
    <col min="7" max="7" width="16" bestFit="1" customWidth="1"/>
    <col min="8" max="8" width="13.140625" bestFit="1" customWidth="1"/>
    <col min="9" max="9" width="11.28515625" customWidth="1"/>
    <col min="10" max="10" width="13.5703125" customWidth="1"/>
    <col min="11" max="11" width="17.28515625" customWidth="1"/>
    <col min="12" max="12" width="18" bestFit="1" customWidth="1"/>
    <col min="13" max="13" width="1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</v>
      </c>
      <c r="H1" s="1" t="s">
        <v>37</v>
      </c>
      <c r="I1" s="1" t="s">
        <v>38</v>
      </c>
    </row>
    <row r="2" spans="1:13" ht="15.75" thickBot="1" x14ac:dyDescent="0.3">
      <c r="A2" s="2">
        <v>1</v>
      </c>
      <c r="B2" s="3">
        <v>44927</v>
      </c>
      <c r="C2" s="2" t="s">
        <v>6</v>
      </c>
      <c r="D2" s="2">
        <v>14.99</v>
      </c>
      <c r="E2" s="2">
        <v>132</v>
      </c>
      <c r="F2" s="2" t="s">
        <v>7</v>
      </c>
      <c r="G2" s="2" t="s">
        <v>31</v>
      </c>
      <c r="H2" s="2" t="s">
        <v>18</v>
      </c>
      <c r="I2" s="2">
        <f>Orders[[#This Row],[price]]*Orders[[#This Row],[quantity]]</f>
        <v>1978.68</v>
      </c>
    </row>
    <row r="3" spans="1:13" x14ac:dyDescent="0.25">
      <c r="A3" s="2">
        <v>2</v>
      </c>
      <c r="B3" s="3">
        <v>44927</v>
      </c>
      <c r="C3" s="2" t="s">
        <v>6</v>
      </c>
      <c r="D3" s="2">
        <v>14.99</v>
      </c>
      <c r="E3" s="2">
        <v>145</v>
      </c>
      <c r="F3" s="2" t="s">
        <v>8</v>
      </c>
      <c r="G3" s="2" t="s">
        <v>27</v>
      </c>
      <c r="H3" s="2" t="s">
        <v>20</v>
      </c>
      <c r="I3" s="2">
        <f>Orders[[#This Row],[price]]*Orders[[#This Row],[quantity]]</f>
        <v>2173.5500000000002</v>
      </c>
      <c r="L3" s="5" t="s">
        <v>15</v>
      </c>
      <c r="M3" s="5"/>
    </row>
    <row r="4" spans="1:13" x14ac:dyDescent="0.25">
      <c r="A4" s="2">
        <v>3</v>
      </c>
      <c r="B4" s="3">
        <v>44927</v>
      </c>
      <c r="C4" s="2" t="s">
        <v>6</v>
      </c>
      <c r="D4" s="2">
        <v>14.99</v>
      </c>
      <c r="E4" s="2">
        <v>793</v>
      </c>
      <c r="F4" s="2" t="s">
        <v>9</v>
      </c>
      <c r="G4" s="2" t="s">
        <v>30</v>
      </c>
      <c r="H4" s="2" t="s">
        <v>16</v>
      </c>
      <c r="I4" s="2">
        <f>Orders[[#This Row],[price]]*Orders[[#This Row],[quantity]]</f>
        <v>11887.07</v>
      </c>
    </row>
    <row r="5" spans="1:13" x14ac:dyDescent="0.25">
      <c r="A5" s="2">
        <v>4</v>
      </c>
      <c r="B5" s="3">
        <v>44927</v>
      </c>
      <c r="C5" s="2" t="s">
        <v>10</v>
      </c>
      <c r="D5" s="2">
        <v>3.99</v>
      </c>
      <c r="E5" s="2">
        <v>492</v>
      </c>
      <c r="F5" s="2" t="s">
        <v>8</v>
      </c>
      <c r="G5" s="2" t="s">
        <v>25</v>
      </c>
      <c r="H5" s="2" t="s">
        <v>24</v>
      </c>
      <c r="I5" s="2">
        <f>Orders[[#This Row],[price]]*Orders[[#This Row],[quantity]]</f>
        <v>1963.0800000000002</v>
      </c>
      <c r="L5" t="s">
        <v>39</v>
      </c>
      <c r="M5">
        <v>4156.0386999999992</v>
      </c>
    </row>
    <row r="6" spans="1:13" x14ac:dyDescent="0.25">
      <c r="A6" s="2">
        <v>5</v>
      </c>
      <c r="B6" s="3">
        <v>44927</v>
      </c>
      <c r="C6" s="2" t="s">
        <v>11</v>
      </c>
      <c r="D6" s="2">
        <v>1.99</v>
      </c>
      <c r="E6" s="2">
        <v>852</v>
      </c>
      <c r="F6" s="2" t="s">
        <v>9</v>
      </c>
      <c r="G6" s="2" t="s">
        <v>30</v>
      </c>
      <c r="H6" s="2" t="s">
        <v>28</v>
      </c>
      <c r="I6" s="2">
        <f>Orders[[#This Row],[price]]*Orders[[#This Row],[quantity]]</f>
        <v>1695.48</v>
      </c>
      <c r="L6" t="s">
        <v>40</v>
      </c>
      <c r="M6">
        <v>304.01707487612526</v>
      </c>
    </row>
    <row r="7" spans="1:13" x14ac:dyDescent="0.25">
      <c r="A7" s="2">
        <v>6</v>
      </c>
      <c r="B7" s="3">
        <v>44927</v>
      </c>
      <c r="C7" s="2" t="s">
        <v>11</v>
      </c>
      <c r="D7" s="2">
        <v>1.99</v>
      </c>
      <c r="E7" s="2">
        <v>676</v>
      </c>
      <c r="F7" s="2" t="s">
        <v>7</v>
      </c>
      <c r="G7" s="2" t="s">
        <v>30</v>
      </c>
      <c r="H7" s="2" t="s">
        <v>24</v>
      </c>
      <c r="I7" s="2">
        <f>Orders[[#This Row],[price]]*Orders[[#This Row],[quantity]]</f>
        <v>1345.24</v>
      </c>
      <c r="L7" t="s">
        <v>41</v>
      </c>
      <c r="M7">
        <v>3136.335</v>
      </c>
    </row>
    <row r="8" spans="1:13" x14ac:dyDescent="0.25">
      <c r="A8" s="2">
        <v>7</v>
      </c>
      <c r="B8" s="3">
        <v>44927</v>
      </c>
      <c r="C8" s="2" t="s">
        <v>10</v>
      </c>
      <c r="D8" s="2">
        <v>3.99</v>
      </c>
      <c r="E8" s="2">
        <v>568</v>
      </c>
      <c r="F8" s="2" t="s">
        <v>8</v>
      </c>
      <c r="G8" s="2" t="s">
        <v>35</v>
      </c>
      <c r="H8" s="2" t="s">
        <v>34</v>
      </c>
      <c r="I8" s="2">
        <f>Orders[[#This Row],[price]]*Orders[[#This Row],[quantity]]</f>
        <v>2266.3200000000002</v>
      </c>
      <c r="L8" t="s">
        <v>42</v>
      </c>
      <c r="M8">
        <v>6151.2</v>
      </c>
    </row>
    <row r="9" spans="1:13" x14ac:dyDescent="0.25">
      <c r="A9" s="2">
        <v>8</v>
      </c>
      <c r="B9" s="3">
        <v>44927</v>
      </c>
      <c r="C9" s="2" t="s">
        <v>12</v>
      </c>
      <c r="D9" s="2">
        <v>6.99</v>
      </c>
      <c r="E9" s="2">
        <v>611</v>
      </c>
      <c r="F9" s="2" t="s">
        <v>9</v>
      </c>
      <c r="G9" s="2" t="s">
        <v>29</v>
      </c>
      <c r="H9" s="2" t="s">
        <v>20</v>
      </c>
      <c r="I9" s="2">
        <f>Orders[[#This Row],[price]]*Orders[[#This Row],[quantity]]</f>
        <v>4270.8900000000003</v>
      </c>
      <c r="L9" t="s">
        <v>43</v>
      </c>
      <c r="M9">
        <v>3040.1707487612525</v>
      </c>
    </row>
    <row r="10" spans="1:13" x14ac:dyDescent="0.25">
      <c r="A10" s="2">
        <v>9</v>
      </c>
      <c r="B10" s="3">
        <v>44927</v>
      </c>
      <c r="C10" s="2" t="s">
        <v>13</v>
      </c>
      <c r="D10" s="2">
        <v>12.99</v>
      </c>
      <c r="E10" s="2">
        <v>274</v>
      </c>
      <c r="F10" s="2" t="s">
        <v>9</v>
      </c>
      <c r="G10" s="2" t="s">
        <v>32</v>
      </c>
      <c r="H10" s="2" t="s">
        <v>18</v>
      </c>
      <c r="I10" s="2">
        <f>Orders[[#This Row],[price]]*Orders[[#This Row],[quantity]]</f>
        <v>3559.26</v>
      </c>
      <c r="L10" t="s">
        <v>44</v>
      </c>
      <c r="M10">
        <v>9242638.1816235557</v>
      </c>
    </row>
    <row r="11" spans="1:13" x14ac:dyDescent="0.25">
      <c r="A11" s="2">
        <v>10</v>
      </c>
      <c r="B11" s="3">
        <v>44927</v>
      </c>
      <c r="C11" s="2" t="s">
        <v>12</v>
      </c>
      <c r="D11" s="2">
        <v>6.99</v>
      </c>
      <c r="E11" s="2">
        <v>880</v>
      </c>
      <c r="F11" s="2" t="s">
        <v>9</v>
      </c>
      <c r="G11" s="2" t="s">
        <v>21</v>
      </c>
      <c r="H11" s="2" t="s">
        <v>24</v>
      </c>
      <c r="I11" s="2">
        <f>Orders[[#This Row],[price]]*Orders[[#This Row],[quantity]]</f>
        <v>6151.2</v>
      </c>
      <c r="L11" t="s">
        <v>45</v>
      </c>
      <c r="M11">
        <v>-0.76669638954266972</v>
      </c>
    </row>
    <row r="12" spans="1:13" x14ac:dyDescent="0.25">
      <c r="A12" s="2">
        <v>11</v>
      </c>
      <c r="B12" s="3">
        <v>44927</v>
      </c>
      <c r="C12" s="2" t="s">
        <v>12</v>
      </c>
      <c r="D12" s="2">
        <v>6.99</v>
      </c>
      <c r="E12" s="2">
        <v>880</v>
      </c>
      <c r="F12" s="2" t="s">
        <v>9</v>
      </c>
      <c r="G12" s="2" t="s">
        <v>21</v>
      </c>
      <c r="H12" s="2" t="s">
        <v>24</v>
      </c>
      <c r="I12" s="2">
        <f>Orders[[#This Row],[price]]*Orders[[#This Row],[quantity]]</f>
        <v>6151.2</v>
      </c>
      <c r="L12" t="s">
        <v>46</v>
      </c>
      <c r="M12">
        <v>0.7144800598673624</v>
      </c>
    </row>
    <row r="13" spans="1:13" x14ac:dyDescent="0.25">
      <c r="A13" s="2">
        <v>12</v>
      </c>
      <c r="B13" s="3">
        <v>44927</v>
      </c>
      <c r="C13" s="2" t="s">
        <v>12</v>
      </c>
      <c r="D13" s="2">
        <v>6.99</v>
      </c>
      <c r="E13" s="2">
        <v>675</v>
      </c>
      <c r="F13" s="2" t="s">
        <v>9</v>
      </c>
      <c r="G13" s="2" t="s">
        <v>27</v>
      </c>
      <c r="H13" s="2" t="s">
        <v>20</v>
      </c>
      <c r="I13" s="2">
        <f>Orders[[#This Row],[price]]*Orders[[#This Row],[quantity]]</f>
        <v>4718.25</v>
      </c>
      <c r="L13" t="s">
        <v>47</v>
      </c>
      <c r="M13">
        <v>11397.529999999999</v>
      </c>
    </row>
    <row r="14" spans="1:13" x14ac:dyDescent="0.25">
      <c r="A14" s="2">
        <v>13</v>
      </c>
      <c r="B14" s="3">
        <v>44927</v>
      </c>
      <c r="C14" s="2" t="s">
        <v>11</v>
      </c>
      <c r="D14" s="2">
        <v>1.99</v>
      </c>
      <c r="E14" s="2">
        <v>488</v>
      </c>
      <c r="F14" s="2" t="s">
        <v>14</v>
      </c>
      <c r="G14" s="2" t="s">
        <v>25</v>
      </c>
      <c r="H14" s="2" t="s">
        <v>20</v>
      </c>
      <c r="I14" s="2">
        <f>Orders[[#This Row],[price]]*Orders[[#This Row],[quantity]]</f>
        <v>971.12</v>
      </c>
      <c r="L14" t="s">
        <v>48</v>
      </c>
      <c r="M14">
        <v>489.54</v>
      </c>
    </row>
    <row r="15" spans="1:13" x14ac:dyDescent="0.25">
      <c r="A15" s="2">
        <v>14</v>
      </c>
      <c r="B15" s="3">
        <v>44927</v>
      </c>
      <c r="C15" s="2" t="s">
        <v>11</v>
      </c>
      <c r="D15" s="2">
        <v>1.99</v>
      </c>
      <c r="E15" s="2">
        <v>441</v>
      </c>
      <c r="F15" s="2" t="s">
        <v>14</v>
      </c>
      <c r="G15" s="2" t="s">
        <v>23</v>
      </c>
      <c r="H15" s="2" t="s">
        <v>24</v>
      </c>
      <c r="I15" s="2">
        <f>Orders[[#This Row],[price]]*Orders[[#This Row],[quantity]]</f>
        <v>877.59</v>
      </c>
      <c r="L15" t="s">
        <v>49</v>
      </c>
      <c r="M15">
        <v>11887.07</v>
      </c>
    </row>
    <row r="16" spans="1:13" x14ac:dyDescent="0.25">
      <c r="A16" s="2">
        <v>15</v>
      </c>
      <c r="B16" s="3">
        <v>44927</v>
      </c>
      <c r="C16" s="2" t="s">
        <v>6</v>
      </c>
      <c r="D16" s="2">
        <v>14.99</v>
      </c>
      <c r="E16" s="2">
        <v>536</v>
      </c>
      <c r="F16" s="2" t="s">
        <v>9</v>
      </c>
      <c r="G16" s="2" t="s">
        <v>23</v>
      </c>
      <c r="H16" s="2" t="s">
        <v>18</v>
      </c>
      <c r="I16" s="2">
        <f>Orders[[#This Row],[price]]*Orders[[#This Row],[quantity]]</f>
        <v>8034.64</v>
      </c>
      <c r="L16" t="s">
        <v>50</v>
      </c>
      <c r="M16">
        <v>415603.86999999994</v>
      </c>
    </row>
    <row r="17" spans="1:13" ht="15.75" thickBot="1" x14ac:dyDescent="0.3">
      <c r="A17" s="2">
        <v>16</v>
      </c>
      <c r="B17" s="3">
        <v>44928</v>
      </c>
      <c r="C17" s="2" t="s">
        <v>6</v>
      </c>
      <c r="D17" s="2">
        <v>14.99</v>
      </c>
      <c r="E17" s="2">
        <v>501</v>
      </c>
      <c r="F17" s="2" t="s">
        <v>9</v>
      </c>
      <c r="G17" s="2" t="s">
        <v>25</v>
      </c>
      <c r="H17" s="2" t="s">
        <v>28</v>
      </c>
      <c r="I17" s="2">
        <f>Orders[[#This Row],[price]]*Orders[[#This Row],[quantity]]</f>
        <v>7509.99</v>
      </c>
      <c r="L17" s="4" t="s">
        <v>51</v>
      </c>
      <c r="M17" s="4">
        <v>100</v>
      </c>
    </row>
    <row r="18" spans="1:13" x14ac:dyDescent="0.25">
      <c r="A18" s="2">
        <v>17</v>
      </c>
      <c r="B18" s="3">
        <v>44928</v>
      </c>
      <c r="C18" s="2" t="s">
        <v>13</v>
      </c>
      <c r="D18" s="2">
        <v>12.99</v>
      </c>
      <c r="E18" s="2">
        <v>177</v>
      </c>
      <c r="F18" s="2" t="s">
        <v>8</v>
      </c>
      <c r="G18" s="2" t="s">
        <v>19</v>
      </c>
      <c r="H18" s="2" t="s">
        <v>20</v>
      </c>
      <c r="I18" s="2">
        <f>Orders[[#This Row],[price]]*Orders[[#This Row],[quantity]]</f>
        <v>2299.23</v>
      </c>
    </row>
    <row r="19" spans="1:13" x14ac:dyDescent="0.25">
      <c r="A19" s="2">
        <v>18</v>
      </c>
      <c r="B19" s="3">
        <v>44928</v>
      </c>
      <c r="C19" s="2" t="s">
        <v>11</v>
      </c>
      <c r="D19" s="2">
        <v>1.99</v>
      </c>
      <c r="E19" s="2">
        <v>343</v>
      </c>
      <c r="F19" s="2" t="s">
        <v>7</v>
      </c>
      <c r="G19" s="2" t="s">
        <v>17</v>
      </c>
      <c r="H19" s="2" t="s">
        <v>24</v>
      </c>
      <c r="I19" s="2">
        <f>Orders[[#This Row],[price]]*Orders[[#This Row],[quantity]]</f>
        <v>682.57</v>
      </c>
    </row>
    <row r="20" spans="1:13" x14ac:dyDescent="0.25">
      <c r="A20" s="2">
        <v>19</v>
      </c>
      <c r="B20" s="3">
        <v>44928</v>
      </c>
      <c r="C20" s="2" t="s">
        <v>11</v>
      </c>
      <c r="D20" s="2">
        <v>1.99</v>
      </c>
      <c r="E20" s="2">
        <v>690</v>
      </c>
      <c r="F20" s="2" t="s">
        <v>9</v>
      </c>
      <c r="G20" s="2" t="s">
        <v>33</v>
      </c>
      <c r="H20" s="2" t="s">
        <v>16</v>
      </c>
      <c r="I20" s="2">
        <f>Orders[[#This Row],[price]]*Orders[[#This Row],[quantity]]</f>
        <v>1373.1</v>
      </c>
    </row>
    <row r="21" spans="1:13" x14ac:dyDescent="0.25">
      <c r="A21" s="2">
        <v>20</v>
      </c>
      <c r="B21" s="3">
        <v>44928</v>
      </c>
      <c r="C21" s="2" t="s">
        <v>10</v>
      </c>
      <c r="D21" s="2">
        <v>3.99</v>
      </c>
      <c r="E21" s="2">
        <v>192</v>
      </c>
      <c r="F21" s="2" t="s">
        <v>8</v>
      </c>
      <c r="G21" s="2" t="s">
        <v>32</v>
      </c>
      <c r="H21" s="2" t="s">
        <v>24</v>
      </c>
      <c r="I21" s="2">
        <f>Orders[[#This Row],[price]]*Orders[[#This Row],[quantity]]</f>
        <v>766.08</v>
      </c>
    </row>
    <row r="22" spans="1:13" x14ac:dyDescent="0.25">
      <c r="A22" s="2">
        <v>21</v>
      </c>
      <c r="B22" s="3">
        <v>44928</v>
      </c>
      <c r="C22" s="2" t="s">
        <v>12</v>
      </c>
      <c r="D22" s="2">
        <v>6.99</v>
      </c>
      <c r="E22" s="2">
        <v>178</v>
      </c>
      <c r="F22" s="2" t="s">
        <v>8</v>
      </c>
      <c r="G22" s="2" t="s">
        <v>30</v>
      </c>
      <c r="H22" s="2" t="s">
        <v>18</v>
      </c>
      <c r="I22" s="2">
        <f>Orders[[#This Row],[price]]*Orders[[#This Row],[quantity]]</f>
        <v>1244.22</v>
      </c>
    </row>
    <row r="23" spans="1:13" x14ac:dyDescent="0.25">
      <c r="A23" s="2">
        <v>22</v>
      </c>
      <c r="B23" s="3">
        <v>44928</v>
      </c>
      <c r="C23" s="2" t="s">
        <v>10</v>
      </c>
      <c r="D23" s="2">
        <v>3.99</v>
      </c>
      <c r="E23" s="2">
        <v>489</v>
      </c>
      <c r="F23" s="2" t="s">
        <v>8</v>
      </c>
      <c r="G23" s="2" t="s">
        <v>23</v>
      </c>
      <c r="H23" s="2" t="s">
        <v>22</v>
      </c>
      <c r="I23" s="2">
        <f>Orders[[#This Row],[price]]*Orders[[#This Row],[quantity]]</f>
        <v>1951.1100000000001</v>
      </c>
    </row>
    <row r="24" spans="1:13" x14ac:dyDescent="0.25">
      <c r="A24" s="2">
        <v>23</v>
      </c>
      <c r="B24" s="3">
        <v>44928</v>
      </c>
      <c r="C24" s="2" t="s">
        <v>10</v>
      </c>
      <c r="D24" s="2">
        <v>3.99</v>
      </c>
      <c r="E24" s="2">
        <v>487</v>
      </c>
      <c r="F24" s="2" t="s">
        <v>9</v>
      </c>
      <c r="G24" s="2" t="s">
        <v>32</v>
      </c>
      <c r="H24" s="2" t="s">
        <v>16</v>
      </c>
      <c r="I24" s="2">
        <f>Orders[[#This Row],[price]]*Orders[[#This Row],[quantity]]</f>
        <v>1943.13</v>
      </c>
    </row>
    <row r="25" spans="1:13" x14ac:dyDescent="0.25">
      <c r="A25" s="2">
        <v>24</v>
      </c>
      <c r="B25" s="3">
        <v>44928</v>
      </c>
      <c r="C25" s="2" t="s">
        <v>10</v>
      </c>
      <c r="D25" s="2">
        <v>3.99</v>
      </c>
      <c r="E25" s="2">
        <v>347</v>
      </c>
      <c r="F25" s="2" t="s">
        <v>9</v>
      </c>
      <c r="G25" s="2" t="s">
        <v>32</v>
      </c>
      <c r="H25" s="2" t="s">
        <v>16</v>
      </c>
      <c r="I25" s="2">
        <f>Orders[[#This Row],[price]]*Orders[[#This Row],[quantity]]</f>
        <v>1384.53</v>
      </c>
    </row>
    <row r="26" spans="1:13" x14ac:dyDescent="0.25">
      <c r="A26" s="2">
        <v>25</v>
      </c>
      <c r="B26" s="3">
        <v>44928</v>
      </c>
      <c r="C26" s="2" t="s">
        <v>11</v>
      </c>
      <c r="D26" s="2">
        <v>1.99</v>
      </c>
      <c r="E26" s="2">
        <v>602</v>
      </c>
      <c r="F26" s="2" t="s">
        <v>14</v>
      </c>
      <c r="G26" s="2" t="s">
        <v>33</v>
      </c>
      <c r="H26" s="2" t="s">
        <v>26</v>
      </c>
      <c r="I26" s="2">
        <f>Orders[[#This Row],[price]]*Orders[[#This Row],[quantity]]</f>
        <v>1197.98</v>
      </c>
    </row>
    <row r="27" spans="1:13" x14ac:dyDescent="0.25">
      <c r="A27" s="2">
        <v>26</v>
      </c>
      <c r="B27" s="3">
        <v>44928</v>
      </c>
      <c r="C27" s="2" t="s">
        <v>6</v>
      </c>
      <c r="D27" s="2">
        <v>14.99</v>
      </c>
      <c r="E27" s="2">
        <v>445</v>
      </c>
      <c r="F27" s="2" t="s">
        <v>7</v>
      </c>
      <c r="G27" s="2" t="s">
        <v>32</v>
      </c>
      <c r="H27" s="2" t="s">
        <v>26</v>
      </c>
      <c r="I27" s="2">
        <f>Orders[[#This Row],[price]]*Orders[[#This Row],[quantity]]</f>
        <v>6670.55</v>
      </c>
    </row>
    <row r="28" spans="1:13" x14ac:dyDescent="0.25">
      <c r="A28" s="2">
        <v>27</v>
      </c>
      <c r="B28" s="3">
        <v>44928</v>
      </c>
      <c r="C28" s="2" t="s">
        <v>13</v>
      </c>
      <c r="D28" s="2">
        <v>12.99</v>
      </c>
      <c r="E28" s="2">
        <v>325</v>
      </c>
      <c r="F28" s="2" t="s">
        <v>8</v>
      </c>
      <c r="G28" s="2" t="s">
        <v>31</v>
      </c>
      <c r="H28" s="2" t="s">
        <v>18</v>
      </c>
      <c r="I28" s="2">
        <f>Orders[[#This Row],[price]]*Orders[[#This Row],[quantity]]</f>
        <v>4221.75</v>
      </c>
    </row>
    <row r="29" spans="1:13" x14ac:dyDescent="0.25">
      <c r="A29" s="2">
        <v>28</v>
      </c>
      <c r="B29" s="3">
        <v>44928</v>
      </c>
      <c r="C29" s="2" t="s">
        <v>12</v>
      </c>
      <c r="D29" s="2">
        <v>6.99</v>
      </c>
      <c r="E29" s="2">
        <v>218</v>
      </c>
      <c r="F29" s="2" t="s">
        <v>9</v>
      </c>
      <c r="G29" s="2" t="s">
        <v>27</v>
      </c>
      <c r="H29" s="2" t="s">
        <v>28</v>
      </c>
      <c r="I29" s="2">
        <f>Orders[[#This Row],[price]]*Orders[[#This Row],[quantity]]</f>
        <v>1523.82</v>
      </c>
    </row>
    <row r="30" spans="1:13" x14ac:dyDescent="0.25">
      <c r="A30" s="2">
        <v>29</v>
      </c>
      <c r="B30" s="3">
        <v>44928</v>
      </c>
      <c r="C30" s="2" t="s">
        <v>10</v>
      </c>
      <c r="D30" s="2">
        <v>3.99</v>
      </c>
      <c r="E30" s="2">
        <v>764</v>
      </c>
      <c r="F30" s="2" t="s">
        <v>7</v>
      </c>
      <c r="G30" s="2" t="s">
        <v>30</v>
      </c>
      <c r="H30" s="2" t="s">
        <v>24</v>
      </c>
      <c r="I30" s="2">
        <f>Orders[[#This Row],[price]]*Orders[[#This Row],[quantity]]</f>
        <v>3048.36</v>
      </c>
    </row>
    <row r="31" spans="1:13" x14ac:dyDescent="0.25">
      <c r="A31" s="2">
        <v>30</v>
      </c>
      <c r="B31" s="3">
        <v>44928</v>
      </c>
      <c r="C31" s="2" t="s">
        <v>6</v>
      </c>
      <c r="D31" s="2">
        <v>14.99</v>
      </c>
      <c r="E31" s="2">
        <v>386</v>
      </c>
      <c r="F31" s="2" t="s">
        <v>9</v>
      </c>
      <c r="G31" s="2" t="s">
        <v>25</v>
      </c>
      <c r="H31" s="2" t="s">
        <v>20</v>
      </c>
      <c r="I31" s="2">
        <f>Orders[[#This Row],[price]]*Orders[[#This Row],[quantity]]</f>
        <v>5786.14</v>
      </c>
    </row>
    <row r="32" spans="1:13" x14ac:dyDescent="0.25">
      <c r="A32" s="2">
        <v>31</v>
      </c>
      <c r="B32" s="3">
        <v>44929</v>
      </c>
      <c r="C32" s="2" t="s">
        <v>13</v>
      </c>
      <c r="D32" s="2">
        <v>12.99</v>
      </c>
      <c r="E32" s="2">
        <v>542</v>
      </c>
      <c r="F32" s="2" t="s">
        <v>8</v>
      </c>
      <c r="G32" s="2" t="s">
        <v>23</v>
      </c>
      <c r="H32" s="2" t="s">
        <v>16</v>
      </c>
      <c r="I32" s="2">
        <f>Orders[[#This Row],[price]]*Orders[[#This Row],[quantity]]</f>
        <v>7040.58</v>
      </c>
    </row>
    <row r="33" spans="1:9" x14ac:dyDescent="0.25">
      <c r="A33" s="2">
        <v>32</v>
      </c>
      <c r="B33" s="3">
        <v>44929</v>
      </c>
      <c r="C33" s="2" t="s">
        <v>10</v>
      </c>
      <c r="D33" s="2">
        <v>3.99</v>
      </c>
      <c r="E33" s="2">
        <v>621</v>
      </c>
      <c r="F33" s="2" t="s">
        <v>9</v>
      </c>
      <c r="G33" s="2" t="s">
        <v>21</v>
      </c>
      <c r="H33" s="2" t="s">
        <v>18</v>
      </c>
      <c r="I33" s="2">
        <f>Orders[[#This Row],[price]]*Orders[[#This Row],[quantity]]</f>
        <v>2477.79</v>
      </c>
    </row>
    <row r="34" spans="1:9" x14ac:dyDescent="0.25">
      <c r="A34" s="2">
        <v>33</v>
      </c>
      <c r="B34" s="3">
        <v>44929</v>
      </c>
      <c r="C34" s="2" t="s">
        <v>12</v>
      </c>
      <c r="D34" s="2">
        <v>6.99</v>
      </c>
      <c r="E34" s="2">
        <v>455</v>
      </c>
      <c r="F34" s="2" t="s">
        <v>7</v>
      </c>
      <c r="G34" s="2" t="s">
        <v>19</v>
      </c>
      <c r="H34" s="2" t="s">
        <v>22</v>
      </c>
      <c r="I34" s="2">
        <f>Orders[[#This Row],[price]]*Orders[[#This Row],[quantity]]</f>
        <v>3180.4500000000003</v>
      </c>
    </row>
    <row r="35" spans="1:9" x14ac:dyDescent="0.25">
      <c r="A35" s="2">
        <v>34</v>
      </c>
      <c r="B35" s="3">
        <v>44929</v>
      </c>
      <c r="C35" s="2" t="s">
        <v>6</v>
      </c>
      <c r="D35" s="2">
        <v>14.99</v>
      </c>
      <c r="E35" s="2">
        <v>732</v>
      </c>
      <c r="F35" s="2" t="s">
        <v>8</v>
      </c>
      <c r="G35" s="2" t="s">
        <v>17</v>
      </c>
      <c r="H35" s="2" t="s">
        <v>24</v>
      </c>
      <c r="I35" s="2">
        <f>Orders[[#This Row],[price]]*Orders[[#This Row],[quantity]]</f>
        <v>10972.68</v>
      </c>
    </row>
    <row r="36" spans="1:9" x14ac:dyDescent="0.25">
      <c r="A36" s="2">
        <v>35</v>
      </c>
      <c r="B36" s="3">
        <v>44929</v>
      </c>
      <c r="C36" s="2" t="s">
        <v>11</v>
      </c>
      <c r="D36" s="2">
        <v>1.99</v>
      </c>
      <c r="E36" s="2">
        <v>298</v>
      </c>
      <c r="F36" s="2" t="s">
        <v>9</v>
      </c>
      <c r="G36" s="2" t="s">
        <v>33</v>
      </c>
      <c r="H36" s="2" t="s">
        <v>26</v>
      </c>
      <c r="I36" s="2">
        <f>Orders[[#This Row],[price]]*Orders[[#This Row],[quantity]]</f>
        <v>593.02</v>
      </c>
    </row>
    <row r="37" spans="1:9" x14ac:dyDescent="0.25">
      <c r="A37" s="2">
        <v>36</v>
      </c>
      <c r="B37" s="3">
        <v>44929</v>
      </c>
      <c r="C37" s="2" t="s">
        <v>10</v>
      </c>
      <c r="D37" s="2">
        <v>3.99</v>
      </c>
      <c r="E37" s="2">
        <v>815</v>
      </c>
      <c r="F37" s="2" t="s">
        <v>14</v>
      </c>
      <c r="G37" s="2" t="s">
        <v>32</v>
      </c>
      <c r="H37" s="2" t="s">
        <v>28</v>
      </c>
      <c r="I37" s="2">
        <f>Orders[[#This Row],[price]]*Orders[[#This Row],[quantity]]</f>
        <v>3251.8500000000004</v>
      </c>
    </row>
    <row r="38" spans="1:9" x14ac:dyDescent="0.25">
      <c r="A38" s="2">
        <v>37</v>
      </c>
      <c r="B38" s="3">
        <v>44929</v>
      </c>
      <c r="C38" s="2" t="s">
        <v>13</v>
      </c>
      <c r="D38" s="2">
        <v>12.99</v>
      </c>
      <c r="E38" s="2">
        <v>367</v>
      </c>
      <c r="F38" s="2" t="s">
        <v>8</v>
      </c>
      <c r="G38" s="2" t="s">
        <v>31</v>
      </c>
      <c r="H38" s="2" t="s">
        <v>34</v>
      </c>
      <c r="I38" s="2">
        <f>Orders[[#This Row],[price]]*Orders[[#This Row],[quantity]]</f>
        <v>4767.33</v>
      </c>
    </row>
    <row r="39" spans="1:9" x14ac:dyDescent="0.25">
      <c r="A39" s="2">
        <v>38</v>
      </c>
      <c r="B39" s="3">
        <v>44929</v>
      </c>
      <c r="C39" s="2" t="s">
        <v>12</v>
      </c>
      <c r="D39" s="2">
        <v>6.99</v>
      </c>
      <c r="E39" s="2">
        <v>590</v>
      </c>
      <c r="F39" s="2" t="s">
        <v>9</v>
      </c>
      <c r="G39" s="2" t="s">
        <v>29</v>
      </c>
      <c r="H39" s="2" t="s">
        <v>20</v>
      </c>
      <c r="I39" s="2">
        <f>Orders[[#This Row],[price]]*Orders[[#This Row],[quantity]]</f>
        <v>4124.1000000000004</v>
      </c>
    </row>
    <row r="40" spans="1:9" x14ac:dyDescent="0.25">
      <c r="A40" s="2">
        <v>39</v>
      </c>
      <c r="B40" s="3">
        <v>44929</v>
      </c>
      <c r="C40" s="2" t="s">
        <v>6</v>
      </c>
      <c r="D40" s="2">
        <v>14.99</v>
      </c>
      <c r="E40" s="2">
        <v>478</v>
      </c>
      <c r="F40" s="2" t="s">
        <v>7</v>
      </c>
      <c r="G40" s="2" t="s">
        <v>30</v>
      </c>
      <c r="H40" s="2" t="s">
        <v>18</v>
      </c>
      <c r="I40" s="2">
        <f>Orders[[#This Row],[price]]*Orders[[#This Row],[quantity]]</f>
        <v>7165.22</v>
      </c>
    </row>
    <row r="41" spans="1:9" x14ac:dyDescent="0.25">
      <c r="A41" s="2">
        <v>40</v>
      </c>
      <c r="B41" s="3">
        <v>44929</v>
      </c>
      <c r="C41" s="2" t="s">
        <v>10</v>
      </c>
      <c r="D41" s="2">
        <v>3.99</v>
      </c>
      <c r="E41" s="2">
        <v>694</v>
      </c>
      <c r="F41" s="2" t="s">
        <v>8</v>
      </c>
      <c r="G41" s="2" t="s">
        <v>27</v>
      </c>
      <c r="H41" s="2" t="s">
        <v>24</v>
      </c>
      <c r="I41" s="2">
        <f>Orders[[#This Row],[price]]*Orders[[#This Row],[quantity]]</f>
        <v>2769.06</v>
      </c>
    </row>
    <row r="42" spans="1:9" x14ac:dyDescent="0.25">
      <c r="A42" s="2">
        <v>41</v>
      </c>
      <c r="B42" s="3">
        <v>44930</v>
      </c>
      <c r="C42" s="2" t="s">
        <v>11</v>
      </c>
      <c r="D42" s="2">
        <v>1.99</v>
      </c>
      <c r="E42" s="2">
        <v>521</v>
      </c>
      <c r="F42" s="2" t="s">
        <v>9</v>
      </c>
      <c r="G42" s="2" t="s">
        <v>25</v>
      </c>
      <c r="H42" s="2" t="s">
        <v>16</v>
      </c>
      <c r="I42" s="2">
        <f>Orders[[#This Row],[price]]*Orders[[#This Row],[quantity]]</f>
        <v>1036.79</v>
      </c>
    </row>
    <row r="43" spans="1:9" x14ac:dyDescent="0.25">
      <c r="A43" s="2">
        <v>42</v>
      </c>
      <c r="B43" s="3">
        <v>44930</v>
      </c>
      <c r="C43" s="2" t="s">
        <v>13</v>
      </c>
      <c r="D43" s="2">
        <v>12.99</v>
      </c>
      <c r="E43" s="2">
        <v>638</v>
      </c>
      <c r="F43" s="2" t="s">
        <v>7</v>
      </c>
      <c r="G43" s="2" t="s">
        <v>23</v>
      </c>
      <c r="H43" s="2" t="s">
        <v>22</v>
      </c>
      <c r="I43" s="2">
        <f>Orders[[#This Row],[price]]*Orders[[#This Row],[quantity]]</f>
        <v>8287.6200000000008</v>
      </c>
    </row>
    <row r="44" spans="1:9" x14ac:dyDescent="0.25">
      <c r="A44" s="2">
        <v>43</v>
      </c>
      <c r="B44" s="3">
        <v>44930</v>
      </c>
      <c r="C44" s="2" t="s">
        <v>6</v>
      </c>
      <c r="D44" s="2">
        <v>14.99</v>
      </c>
      <c r="E44" s="2">
        <v>284</v>
      </c>
      <c r="F44" s="2" t="s">
        <v>8</v>
      </c>
      <c r="G44" s="2" t="s">
        <v>21</v>
      </c>
      <c r="H44" s="2" t="s">
        <v>26</v>
      </c>
      <c r="I44" s="2">
        <f>Orders[[#This Row],[price]]*Orders[[#This Row],[quantity]]</f>
        <v>4257.16</v>
      </c>
    </row>
    <row r="45" spans="1:9" x14ac:dyDescent="0.25">
      <c r="A45" s="2">
        <v>44</v>
      </c>
      <c r="B45" s="3">
        <v>44930</v>
      </c>
      <c r="C45" s="2" t="s">
        <v>12</v>
      </c>
      <c r="D45" s="2">
        <v>6.99</v>
      </c>
      <c r="E45" s="2">
        <v>746</v>
      </c>
      <c r="F45" s="2" t="s">
        <v>9</v>
      </c>
      <c r="G45" s="2" t="s">
        <v>19</v>
      </c>
      <c r="H45" s="2" t="s">
        <v>18</v>
      </c>
      <c r="I45" s="2">
        <f>Orders[[#This Row],[price]]*Orders[[#This Row],[quantity]]</f>
        <v>5214.54</v>
      </c>
    </row>
    <row r="46" spans="1:9" x14ac:dyDescent="0.25">
      <c r="A46" s="2">
        <v>45</v>
      </c>
      <c r="B46" s="3">
        <v>44930</v>
      </c>
      <c r="C46" s="2" t="s">
        <v>10</v>
      </c>
      <c r="D46" s="2">
        <v>3.99</v>
      </c>
      <c r="E46" s="2">
        <v>413</v>
      </c>
      <c r="F46" s="2" t="s">
        <v>14</v>
      </c>
      <c r="G46" s="2" t="s">
        <v>17</v>
      </c>
      <c r="H46" s="2" t="s">
        <v>28</v>
      </c>
      <c r="I46" s="2">
        <f>Orders[[#This Row],[price]]*Orders[[#This Row],[quantity]]</f>
        <v>1647.8700000000001</v>
      </c>
    </row>
    <row r="47" spans="1:9" x14ac:dyDescent="0.25">
      <c r="A47" s="2">
        <v>46</v>
      </c>
      <c r="B47" s="3">
        <v>44930</v>
      </c>
      <c r="C47" s="2" t="s">
        <v>6</v>
      </c>
      <c r="D47" s="2">
        <v>14.99</v>
      </c>
      <c r="E47" s="2">
        <v>557</v>
      </c>
      <c r="F47" s="2" t="s">
        <v>7</v>
      </c>
      <c r="G47" s="2" t="s">
        <v>33</v>
      </c>
      <c r="H47" s="2" t="s">
        <v>20</v>
      </c>
      <c r="I47" s="2">
        <f>Orders[[#This Row],[price]]*Orders[[#This Row],[quantity]]</f>
        <v>8349.43</v>
      </c>
    </row>
    <row r="48" spans="1:9" x14ac:dyDescent="0.25">
      <c r="A48" s="2">
        <v>47</v>
      </c>
      <c r="B48" s="3">
        <v>44930</v>
      </c>
      <c r="C48" s="2" t="s">
        <v>13</v>
      </c>
      <c r="D48" s="2">
        <v>12.99</v>
      </c>
      <c r="E48" s="2">
        <v>691</v>
      </c>
      <c r="F48" s="2" t="s">
        <v>9</v>
      </c>
      <c r="G48" s="2" t="s">
        <v>32</v>
      </c>
      <c r="H48" s="2" t="s">
        <v>24</v>
      </c>
      <c r="I48" s="2">
        <f>Orders[[#This Row],[price]]*Orders[[#This Row],[quantity]]</f>
        <v>8976.09</v>
      </c>
    </row>
    <row r="49" spans="1:9" x14ac:dyDescent="0.25">
      <c r="A49" s="2">
        <v>48</v>
      </c>
      <c r="B49" s="3">
        <v>44930</v>
      </c>
      <c r="C49" s="2" t="s">
        <v>11</v>
      </c>
      <c r="D49" s="2">
        <v>1.99</v>
      </c>
      <c r="E49" s="2">
        <v>329</v>
      </c>
      <c r="F49" s="2" t="s">
        <v>8</v>
      </c>
      <c r="G49" s="2" t="s">
        <v>31</v>
      </c>
      <c r="H49" s="2" t="s">
        <v>16</v>
      </c>
      <c r="I49" s="2">
        <f>Orders[[#This Row],[price]]*Orders[[#This Row],[quantity]]</f>
        <v>654.71</v>
      </c>
    </row>
    <row r="50" spans="1:9" x14ac:dyDescent="0.25">
      <c r="A50" s="2">
        <v>49</v>
      </c>
      <c r="B50" s="3">
        <v>44930</v>
      </c>
      <c r="C50" s="2" t="s">
        <v>10</v>
      </c>
      <c r="D50" s="2">
        <v>3.99</v>
      </c>
      <c r="E50" s="2">
        <v>782</v>
      </c>
      <c r="F50" s="2" t="s">
        <v>9</v>
      </c>
      <c r="G50" s="2" t="s">
        <v>30</v>
      </c>
      <c r="H50" s="2" t="s">
        <v>18</v>
      </c>
      <c r="I50" s="2">
        <f>Orders[[#This Row],[price]]*Orders[[#This Row],[quantity]]</f>
        <v>3120.1800000000003</v>
      </c>
    </row>
    <row r="51" spans="1:9" x14ac:dyDescent="0.25">
      <c r="A51" s="2">
        <v>50</v>
      </c>
      <c r="B51" s="3">
        <v>44930</v>
      </c>
      <c r="C51" s="2" t="s">
        <v>12</v>
      </c>
      <c r="D51" s="2">
        <v>6.99</v>
      </c>
      <c r="E51" s="2">
        <v>468</v>
      </c>
      <c r="F51" s="2" t="s">
        <v>7</v>
      </c>
      <c r="G51" s="2" t="s">
        <v>29</v>
      </c>
      <c r="H51" s="2" t="s">
        <v>26</v>
      </c>
      <c r="I51" s="2">
        <f>Orders[[#This Row],[price]]*Orders[[#This Row],[quantity]]</f>
        <v>3271.32</v>
      </c>
    </row>
    <row r="52" spans="1:9" x14ac:dyDescent="0.25">
      <c r="A52" s="2">
        <v>51</v>
      </c>
      <c r="B52" s="3">
        <v>44931</v>
      </c>
      <c r="C52" s="2" t="s">
        <v>6</v>
      </c>
      <c r="D52" s="2">
        <v>14.99</v>
      </c>
      <c r="E52" s="2">
        <v>615</v>
      </c>
      <c r="F52" s="2" t="s">
        <v>8</v>
      </c>
      <c r="G52" s="2" t="s">
        <v>27</v>
      </c>
      <c r="H52" s="2" t="s">
        <v>22</v>
      </c>
      <c r="I52" s="2">
        <f>Orders[[#This Row],[price]]*Orders[[#This Row],[quantity]]</f>
        <v>9218.85</v>
      </c>
    </row>
    <row r="53" spans="1:9" x14ac:dyDescent="0.25">
      <c r="A53" s="2">
        <v>52</v>
      </c>
      <c r="B53" s="3">
        <v>44931</v>
      </c>
      <c r="C53" s="2" t="s">
        <v>10</v>
      </c>
      <c r="D53" s="2">
        <v>3.99</v>
      </c>
      <c r="E53" s="2">
        <v>342</v>
      </c>
      <c r="F53" s="2" t="s">
        <v>9</v>
      </c>
      <c r="G53" s="2" t="s">
        <v>25</v>
      </c>
      <c r="H53" s="2" t="s">
        <v>24</v>
      </c>
      <c r="I53" s="2">
        <f>Orders[[#This Row],[price]]*Orders[[#This Row],[quantity]]</f>
        <v>1364.5800000000002</v>
      </c>
    </row>
    <row r="54" spans="1:9" x14ac:dyDescent="0.25">
      <c r="A54" s="2">
        <v>53</v>
      </c>
      <c r="B54" s="3">
        <v>44931</v>
      </c>
      <c r="C54" s="2" t="s">
        <v>13</v>
      </c>
      <c r="D54" s="2">
        <v>12.99</v>
      </c>
      <c r="E54" s="2">
        <v>729</v>
      </c>
      <c r="F54" s="2" t="s">
        <v>7</v>
      </c>
      <c r="G54" s="2" t="s">
        <v>23</v>
      </c>
      <c r="H54" s="2" t="s">
        <v>18</v>
      </c>
      <c r="I54" s="2">
        <f>Orders[[#This Row],[price]]*Orders[[#This Row],[quantity]]</f>
        <v>9469.7100000000009</v>
      </c>
    </row>
    <row r="55" spans="1:9" x14ac:dyDescent="0.25">
      <c r="A55" s="2">
        <v>54</v>
      </c>
      <c r="B55" s="3">
        <v>44931</v>
      </c>
      <c r="C55" s="2" t="s">
        <v>12</v>
      </c>
      <c r="D55" s="2">
        <v>6.99</v>
      </c>
      <c r="E55" s="2">
        <v>536</v>
      </c>
      <c r="F55" s="2" t="s">
        <v>8</v>
      </c>
      <c r="G55" s="2" t="s">
        <v>21</v>
      </c>
      <c r="H55" s="2" t="s">
        <v>20</v>
      </c>
      <c r="I55" s="2">
        <f>Orders[[#This Row],[price]]*Orders[[#This Row],[quantity]]</f>
        <v>3746.6400000000003</v>
      </c>
    </row>
    <row r="56" spans="1:9" x14ac:dyDescent="0.25">
      <c r="A56" s="2">
        <v>55</v>
      </c>
      <c r="B56" s="3">
        <v>44931</v>
      </c>
      <c r="C56" s="2" t="s">
        <v>11</v>
      </c>
      <c r="D56" s="2">
        <v>1.99</v>
      </c>
      <c r="E56" s="2">
        <v>287</v>
      </c>
      <c r="F56" s="2" t="s">
        <v>14</v>
      </c>
      <c r="G56" s="2" t="s">
        <v>19</v>
      </c>
      <c r="H56" s="2" t="s">
        <v>28</v>
      </c>
      <c r="I56" s="2">
        <f>Orders[[#This Row],[price]]*Orders[[#This Row],[quantity]]</f>
        <v>571.13</v>
      </c>
    </row>
    <row r="57" spans="1:9" x14ac:dyDescent="0.25">
      <c r="A57" s="2">
        <v>56</v>
      </c>
      <c r="B57" s="3">
        <v>44931</v>
      </c>
      <c r="C57" s="2" t="s">
        <v>6</v>
      </c>
      <c r="D57" s="2">
        <v>14.99</v>
      </c>
      <c r="E57" s="2">
        <v>654</v>
      </c>
      <c r="F57" s="2" t="s">
        <v>9</v>
      </c>
      <c r="G57" s="2" t="s">
        <v>17</v>
      </c>
      <c r="H57" s="2" t="s">
        <v>26</v>
      </c>
      <c r="I57" s="2">
        <f>Orders[[#This Row],[price]]*Orders[[#This Row],[quantity]]</f>
        <v>9803.4600000000009</v>
      </c>
    </row>
    <row r="58" spans="1:9" x14ac:dyDescent="0.25">
      <c r="A58" s="2">
        <v>57</v>
      </c>
      <c r="B58" s="3">
        <v>44931</v>
      </c>
      <c r="C58" s="2" t="s">
        <v>10</v>
      </c>
      <c r="D58" s="2">
        <v>3.99</v>
      </c>
      <c r="E58" s="2">
        <v>471</v>
      </c>
      <c r="F58" s="2" t="s">
        <v>8</v>
      </c>
      <c r="G58" s="2" t="s">
        <v>33</v>
      </c>
      <c r="H58" s="2" t="s">
        <v>16</v>
      </c>
      <c r="I58" s="2">
        <f>Orders[[#This Row],[price]]*Orders[[#This Row],[quantity]]</f>
        <v>1879.2900000000002</v>
      </c>
    </row>
    <row r="59" spans="1:9" x14ac:dyDescent="0.25">
      <c r="A59" s="2">
        <v>58</v>
      </c>
      <c r="B59" s="3">
        <v>44931</v>
      </c>
      <c r="C59" s="2" t="s">
        <v>13</v>
      </c>
      <c r="D59" s="2">
        <v>12.99</v>
      </c>
      <c r="E59" s="2">
        <v>593</v>
      </c>
      <c r="F59" s="2" t="s">
        <v>9</v>
      </c>
      <c r="G59" s="2" t="s">
        <v>32</v>
      </c>
      <c r="H59" s="2" t="s">
        <v>24</v>
      </c>
      <c r="I59" s="2">
        <f>Orders[[#This Row],[price]]*Orders[[#This Row],[quantity]]</f>
        <v>7703.07</v>
      </c>
    </row>
    <row r="60" spans="1:9" x14ac:dyDescent="0.25">
      <c r="A60" s="2">
        <v>59</v>
      </c>
      <c r="B60" s="3">
        <v>44931</v>
      </c>
      <c r="C60" s="2" t="s">
        <v>12</v>
      </c>
      <c r="D60" s="2">
        <v>6.99</v>
      </c>
      <c r="E60" s="2">
        <v>365</v>
      </c>
      <c r="F60" s="2" t="s">
        <v>7</v>
      </c>
      <c r="G60" s="2" t="s">
        <v>31</v>
      </c>
      <c r="H60" s="2" t="s">
        <v>22</v>
      </c>
      <c r="I60" s="2">
        <f>Orders[[#This Row],[price]]*Orders[[#This Row],[quantity]]</f>
        <v>2551.35</v>
      </c>
    </row>
    <row r="61" spans="1:9" x14ac:dyDescent="0.25">
      <c r="A61" s="2">
        <v>60</v>
      </c>
      <c r="B61" s="3">
        <v>44931</v>
      </c>
      <c r="C61" s="2" t="s">
        <v>11</v>
      </c>
      <c r="D61" s="2">
        <v>1.99</v>
      </c>
      <c r="E61" s="2">
        <v>818</v>
      </c>
      <c r="F61" s="2" t="s">
        <v>8</v>
      </c>
      <c r="G61" s="2" t="s">
        <v>30</v>
      </c>
      <c r="H61" s="2" t="s">
        <v>18</v>
      </c>
      <c r="I61" s="2">
        <f>Orders[[#This Row],[price]]*Orders[[#This Row],[quantity]]</f>
        <v>1627.82</v>
      </c>
    </row>
    <row r="62" spans="1:9" x14ac:dyDescent="0.25">
      <c r="A62" s="2">
        <v>61</v>
      </c>
      <c r="B62" s="3">
        <v>44932</v>
      </c>
      <c r="C62" s="2" t="s">
        <v>6</v>
      </c>
      <c r="D62" s="2">
        <v>14.99</v>
      </c>
      <c r="E62" s="2">
        <v>439</v>
      </c>
      <c r="F62" s="2" t="s">
        <v>9</v>
      </c>
      <c r="G62" s="2" t="s">
        <v>29</v>
      </c>
      <c r="H62" s="2" t="s">
        <v>20</v>
      </c>
      <c r="I62" s="2">
        <f>Orders[[#This Row],[price]]*Orders[[#This Row],[quantity]]</f>
        <v>6580.61</v>
      </c>
    </row>
    <row r="63" spans="1:9" x14ac:dyDescent="0.25">
      <c r="A63" s="2">
        <v>62</v>
      </c>
      <c r="B63" s="3">
        <v>44932</v>
      </c>
      <c r="C63" s="2" t="s">
        <v>10</v>
      </c>
      <c r="D63" s="2">
        <v>3.99</v>
      </c>
      <c r="E63" s="2">
        <v>572</v>
      </c>
      <c r="F63" s="2" t="s">
        <v>7</v>
      </c>
      <c r="G63" s="2" t="s">
        <v>27</v>
      </c>
      <c r="H63" s="2" t="s">
        <v>24</v>
      </c>
      <c r="I63" s="2">
        <f>Orders[[#This Row],[price]]*Orders[[#This Row],[quantity]]</f>
        <v>2282.2800000000002</v>
      </c>
    </row>
    <row r="64" spans="1:9" x14ac:dyDescent="0.25">
      <c r="A64" s="2">
        <v>63</v>
      </c>
      <c r="B64" s="3">
        <v>44932</v>
      </c>
      <c r="C64" s="2" t="s">
        <v>13</v>
      </c>
      <c r="D64" s="2">
        <v>12.99</v>
      </c>
      <c r="E64" s="2">
        <v>684</v>
      </c>
      <c r="F64" s="2" t="s">
        <v>8</v>
      </c>
      <c r="G64" s="2" t="s">
        <v>25</v>
      </c>
      <c r="H64" s="2" t="s">
        <v>16</v>
      </c>
      <c r="I64" s="2">
        <f>Orders[[#This Row],[price]]*Orders[[#This Row],[quantity]]</f>
        <v>8885.16</v>
      </c>
    </row>
    <row r="65" spans="1:9" x14ac:dyDescent="0.25">
      <c r="A65" s="2">
        <v>64</v>
      </c>
      <c r="B65" s="3">
        <v>44932</v>
      </c>
      <c r="C65" s="2" t="s">
        <v>12</v>
      </c>
      <c r="D65" s="2">
        <v>6.99</v>
      </c>
      <c r="E65" s="2">
        <v>257</v>
      </c>
      <c r="F65" s="2" t="s">
        <v>9</v>
      </c>
      <c r="G65" s="2" t="s">
        <v>23</v>
      </c>
      <c r="H65" s="2" t="s">
        <v>26</v>
      </c>
      <c r="I65" s="2">
        <f>Orders[[#This Row],[price]]*Orders[[#This Row],[quantity]]</f>
        <v>1796.43</v>
      </c>
    </row>
    <row r="66" spans="1:9" x14ac:dyDescent="0.25">
      <c r="A66" s="2">
        <v>65</v>
      </c>
      <c r="B66" s="3">
        <v>44932</v>
      </c>
      <c r="C66" s="2" t="s">
        <v>11</v>
      </c>
      <c r="D66" s="2">
        <v>1.99</v>
      </c>
      <c r="E66" s="2">
        <v>746</v>
      </c>
      <c r="F66" s="2" t="s">
        <v>14</v>
      </c>
      <c r="G66" s="2" t="s">
        <v>21</v>
      </c>
      <c r="H66" s="2" t="s">
        <v>22</v>
      </c>
      <c r="I66" s="2">
        <f>Orders[[#This Row],[price]]*Orders[[#This Row],[quantity]]</f>
        <v>1484.54</v>
      </c>
    </row>
    <row r="67" spans="1:9" x14ac:dyDescent="0.25">
      <c r="A67" s="2">
        <v>66</v>
      </c>
      <c r="B67" s="3">
        <v>44932</v>
      </c>
      <c r="C67" s="2" t="s">
        <v>6</v>
      </c>
      <c r="D67" s="2">
        <v>14.99</v>
      </c>
      <c r="E67" s="2">
        <v>518</v>
      </c>
      <c r="F67" s="2" t="s">
        <v>8</v>
      </c>
      <c r="G67" s="2" t="s">
        <v>19</v>
      </c>
      <c r="H67" s="2" t="s">
        <v>18</v>
      </c>
      <c r="I67" s="2">
        <f>Orders[[#This Row],[price]]*Orders[[#This Row],[quantity]]</f>
        <v>7764.82</v>
      </c>
    </row>
    <row r="68" spans="1:9" x14ac:dyDescent="0.25">
      <c r="A68" s="2">
        <v>67</v>
      </c>
      <c r="B68" s="3">
        <v>44932</v>
      </c>
      <c r="C68" s="2" t="s">
        <v>10</v>
      </c>
      <c r="D68" s="2">
        <v>3.99</v>
      </c>
      <c r="E68" s="2">
        <v>394</v>
      </c>
      <c r="F68" s="2" t="s">
        <v>9</v>
      </c>
      <c r="G68" s="2" t="s">
        <v>17</v>
      </c>
      <c r="H68" s="2" t="s">
        <v>28</v>
      </c>
      <c r="I68" s="2">
        <f>Orders[[#This Row],[price]]*Orders[[#This Row],[quantity]]</f>
        <v>1572.0600000000002</v>
      </c>
    </row>
    <row r="69" spans="1:9" x14ac:dyDescent="0.25">
      <c r="A69" s="2">
        <v>68</v>
      </c>
      <c r="B69" s="3">
        <v>44932</v>
      </c>
      <c r="C69" s="2" t="s">
        <v>13</v>
      </c>
      <c r="D69" s="2">
        <v>12.99</v>
      </c>
      <c r="E69" s="2">
        <v>621</v>
      </c>
      <c r="F69" s="2" t="s">
        <v>7</v>
      </c>
      <c r="G69" s="2" t="s">
        <v>33</v>
      </c>
      <c r="H69" s="2" t="s">
        <v>20</v>
      </c>
      <c r="I69" s="2">
        <f>Orders[[#This Row],[price]]*Orders[[#This Row],[quantity]]</f>
        <v>8066.79</v>
      </c>
    </row>
    <row r="70" spans="1:9" x14ac:dyDescent="0.25">
      <c r="A70" s="2">
        <v>69</v>
      </c>
      <c r="B70" s="3">
        <v>44932</v>
      </c>
      <c r="C70" s="2" t="s">
        <v>12</v>
      </c>
      <c r="D70" s="2">
        <v>6.99</v>
      </c>
      <c r="E70" s="2">
        <v>483</v>
      </c>
      <c r="F70" s="2" t="s">
        <v>8</v>
      </c>
      <c r="G70" s="2" t="s">
        <v>32</v>
      </c>
      <c r="H70" s="2" t="s">
        <v>24</v>
      </c>
      <c r="I70" s="2">
        <f>Orders[[#This Row],[price]]*Orders[[#This Row],[quantity]]</f>
        <v>3376.17</v>
      </c>
    </row>
    <row r="71" spans="1:9" x14ac:dyDescent="0.25">
      <c r="A71" s="2">
        <v>70</v>
      </c>
      <c r="B71" s="3">
        <v>44932</v>
      </c>
      <c r="C71" s="2" t="s">
        <v>11</v>
      </c>
      <c r="D71" s="2">
        <v>1.99</v>
      </c>
      <c r="E71" s="2">
        <v>577</v>
      </c>
      <c r="F71" s="2" t="s">
        <v>9</v>
      </c>
      <c r="G71" s="2" t="s">
        <v>31</v>
      </c>
      <c r="H71" s="2" t="s">
        <v>16</v>
      </c>
      <c r="I71" s="2">
        <f>Orders[[#This Row],[price]]*Orders[[#This Row],[quantity]]</f>
        <v>1148.23</v>
      </c>
    </row>
    <row r="72" spans="1:9" x14ac:dyDescent="0.25">
      <c r="A72" s="2">
        <v>71</v>
      </c>
      <c r="B72" s="3">
        <v>44933</v>
      </c>
      <c r="C72" s="2" t="s">
        <v>6</v>
      </c>
      <c r="D72" s="2">
        <v>14.99</v>
      </c>
      <c r="E72" s="2">
        <v>692</v>
      </c>
      <c r="F72" s="2" t="s">
        <v>7</v>
      </c>
      <c r="G72" s="2" t="s">
        <v>30</v>
      </c>
      <c r="H72" s="2" t="s">
        <v>18</v>
      </c>
      <c r="I72" s="2">
        <f>Orders[[#This Row],[price]]*Orders[[#This Row],[quantity]]</f>
        <v>10373.08</v>
      </c>
    </row>
    <row r="73" spans="1:9" x14ac:dyDescent="0.25">
      <c r="A73" s="2">
        <v>72</v>
      </c>
      <c r="B73" s="3">
        <v>44933</v>
      </c>
      <c r="C73" s="2" t="s">
        <v>10</v>
      </c>
      <c r="D73" s="2">
        <v>3.99</v>
      </c>
      <c r="E73" s="2">
        <v>315</v>
      </c>
      <c r="F73" s="2" t="s">
        <v>8</v>
      </c>
      <c r="G73" s="2" t="s">
        <v>29</v>
      </c>
      <c r="H73" s="2" t="s">
        <v>26</v>
      </c>
      <c r="I73" s="2">
        <f>Orders[[#This Row],[price]]*Orders[[#This Row],[quantity]]</f>
        <v>1256.8500000000001</v>
      </c>
    </row>
    <row r="74" spans="1:9" x14ac:dyDescent="0.25">
      <c r="A74" s="2">
        <v>73</v>
      </c>
      <c r="B74" s="3">
        <v>44933</v>
      </c>
      <c r="C74" s="2" t="s">
        <v>13</v>
      </c>
      <c r="D74" s="2">
        <v>12.99</v>
      </c>
      <c r="E74" s="2">
        <v>754</v>
      </c>
      <c r="F74" s="2" t="s">
        <v>9</v>
      </c>
      <c r="G74" s="2" t="s">
        <v>27</v>
      </c>
      <c r="H74" s="2" t="s">
        <v>22</v>
      </c>
      <c r="I74" s="2">
        <f>Orders[[#This Row],[price]]*Orders[[#This Row],[quantity]]</f>
        <v>9794.4600000000009</v>
      </c>
    </row>
    <row r="75" spans="1:9" x14ac:dyDescent="0.25">
      <c r="A75" s="2">
        <v>74</v>
      </c>
      <c r="B75" s="3">
        <v>44933</v>
      </c>
      <c r="C75" s="2" t="s">
        <v>12</v>
      </c>
      <c r="D75" s="2">
        <v>6.99</v>
      </c>
      <c r="E75" s="2">
        <v>426</v>
      </c>
      <c r="F75" s="2" t="s">
        <v>7</v>
      </c>
      <c r="G75" s="2" t="s">
        <v>25</v>
      </c>
      <c r="H75" s="2" t="s">
        <v>24</v>
      </c>
      <c r="I75" s="2">
        <f>Orders[[#This Row],[price]]*Orders[[#This Row],[quantity]]</f>
        <v>2977.7400000000002</v>
      </c>
    </row>
    <row r="76" spans="1:9" x14ac:dyDescent="0.25">
      <c r="A76" s="2">
        <v>75</v>
      </c>
      <c r="B76" s="3">
        <v>44933</v>
      </c>
      <c r="C76" s="2" t="s">
        <v>11</v>
      </c>
      <c r="D76" s="2">
        <v>1.99</v>
      </c>
      <c r="E76" s="2">
        <v>583</v>
      </c>
      <c r="F76" s="2" t="s">
        <v>8</v>
      </c>
      <c r="G76" s="2" t="s">
        <v>23</v>
      </c>
      <c r="H76" s="2" t="s">
        <v>28</v>
      </c>
      <c r="I76" s="2">
        <f>Orders[[#This Row],[price]]*Orders[[#This Row],[quantity]]</f>
        <v>1160.17</v>
      </c>
    </row>
    <row r="77" spans="1:9" x14ac:dyDescent="0.25">
      <c r="A77" s="2">
        <v>76</v>
      </c>
      <c r="B77" s="3">
        <v>44933</v>
      </c>
      <c r="C77" s="2" t="s">
        <v>6</v>
      </c>
      <c r="D77" s="2">
        <v>14.99</v>
      </c>
      <c r="E77" s="2">
        <v>471</v>
      </c>
      <c r="F77" s="2" t="s">
        <v>9</v>
      </c>
      <c r="G77" s="2" t="s">
        <v>21</v>
      </c>
      <c r="H77" s="2" t="s">
        <v>20</v>
      </c>
      <c r="I77" s="2">
        <f>Orders[[#This Row],[price]]*Orders[[#This Row],[quantity]]</f>
        <v>7060.29</v>
      </c>
    </row>
    <row r="78" spans="1:9" x14ac:dyDescent="0.25">
      <c r="A78" s="2">
        <v>77</v>
      </c>
      <c r="B78" s="3">
        <v>44933</v>
      </c>
      <c r="C78" s="2" t="s">
        <v>10</v>
      </c>
      <c r="D78" s="2">
        <v>3.99</v>
      </c>
      <c r="E78" s="2">
        <v>638</v>
      </c>
      <c r="F78" s="2" t="s">
        <v>14</v>
      </c>
      <c r="G78" s="2" t="s">
        <v>19</v>
      </c>
      <c r="H78" s="2" t="s">
        <v>18</v>
      </c>
      <c r="I78" s="2">
        <f>Orders[[#This Row],[price]]*Orders[[#This Row],[quantity]]</f>
        <v>2545.6200000000003</v>
      </c>
    </row>
    <row r="79" spans="1:9" x14ac:dyDescent="0.25">
      <c r="A79" s="2">
        <v>78</v>
      </c>
      <c r="B79" s="3">
        <v>44933</v>
      </c>
      <c r="C79" s="2" t="s">
        <v>13</v>
      </c>
      <c r="D79" s="2">
        <v>12.99</v>
      </c>
      <c r="E79" s="2">
        <v>359</v>
      </c>
      <c r="F79" s="2" t="s">
        <v>8</v>
      </c>
      <c r="G79" s="2" t="s">
        <v>17</v>
      </c>
      <c r="H79" s="2" t="s">
        <v>16</v>
      </c>
      <c r="I79" s="2">
        <f>Orders[[#This Row],[price]]*Orders[[#This Row],[quantity]]</f>
        <v>4663.41</v>
      </c>
    </row>
    <row r="80" spans="1:9" x14ac:dyDescent="0.25">
      <c r="A80" s="2">
        <v>79</v>
      </c>
      <c r="B80" s="3">
        <v>44933</v>
      </c>
      <c r="C80" s="2" t="s">
        <v>12</v>
      </c>
      <c r="D80" s="2">
        <v>6.99</v>
      </c>
      <c r="E80" s="2">
        <v>817</v>
      </c>
      <c r="F80" s="2" t="s">
        <v>9</v>
      </c>
      <c r="G80" s="2" t="s">
        <v>33</v>
      </c>
      <c r="H80" s="2" t="s">
        <v>24</v>
      </c>
      <c r="I80" s="2">
        <f>Orders[[#This Row],[price]]*Orders[[#This Row],[quantity]]</f>
        <v>5710.83</v>
      </c>
    </row>
    <row r="81" spans="1:9" x14ac:dyDescent="0.25">
      <c r="A81" s="2">
        <v>80</v>
      </c>
      <c r="B81" s="3">
        <v>44933</v>
      </c>
      <c r="C81" s="2" t="s">
        <v>11</v>
      </c>
      <c r="D81" s="2">
        <v>1.99</v>
      </c>
      <c r="E81" s="2">
        <v>246</v>
      </c>
      <c r="F81" s="2" t="s">
        <v>7</v>
      </c>
      <c r="G81" s="2" t="s">
        <v>32</v>
      </c>
      <c r="H81" s="2" t="s">
        <v>26</v>
      </c>
      <c r="I81" s="2">
        <f>Orders[[#This Row],[price]]*Orders[[#This Row],[quantity]]</f>
        <v>489.54</v>
      </c>
    </row>
    <row r="82" spans="1:9" x14ac:dyDescent="0.25">
      <c r="A82" s="2">
        <v>81</v>
      </c>
      <c r="B82" s="3">
        <v>44934</v>
      </c>
      <c r="C82" s="2" t="s">
        <v>6</v>
      </c>
      <c r="D82" s="2">
        <v>14.99</v>
      </c>
      <c r="E82" s="2">
        <v>527</v>
      </c>
      <c r="F82" s="2" t="s">
        <v>8</v>
      </c>
      <c r="G82" s="2" t="s">
        <v>31</v>
      </c>
      <c r="H82" s="2" t="s">
        <v>22</v>
      </c>
      <c r="I82" s="2">
        <f>Orders[[#This Row],[price]]*Orders[[#This Row],[quantity]]</f>
        <v>7899.7300000000005</v>
      </c>
    </row>
    <row r="83" spans="1:9" x14ac:dyDescent="0.25">
      <c r="A83" s="2">
        <v>82</v>
      </c>
      <c r="B83" s="3">
        <v>44934</v>
      </c>
      <c r="C83" s="2" t="s">
        <v>10</v>
      </c>
      <c r="D83" s="2">
        <v>3.99</v>
      </c>
      <c r="E83" s="2">
        <v>681</v>
      </c>
      <c r="F83" s="2" t="s">
        <v>9</v>
      </c>
      <c r="G83" s="2" t="s">
        <v>30</v>
      </c>
      <c r="H83" s="2" t="s">
        <v>18</v>
      </c>
      <c r="I83" s="2">
        <f>Orders[[#This Row],[price]]*Orders[[#This Row],[quantity]]</f>
        <v>2717.19</v>
      </c>
    </row>
    <row r="84" spans="1:9" x14ac:dyDescent="0.25">
      <c r="A84" s="2">
        <v>83</v>
      </c>
      <c r="B84" s="3">
        <v>44934</v>
      </c>
      <c r="C84" s="2" t="s">
        <v>13</v>
      </c>
      <c r="D84" s="2">
        <v>12.99</v>
      </c>
      <c r="E84" s="2">
        <v>438</v>
      </c>
      <c r="F84" s="2" t="s">
        <v>7</v>
      </c>
      <c r="G84" s="2" t="s">
        <v>29</v>
      </c>
      <c r="H84" s="2" t="s">
        <v>20</v>
      </c>
      <c r="I84" s="2">
        <f>Orders[[#This Row],[price]]*Orders[[#This Row],[quantity]]</f>
        <v>5689.62</v>
      </c>
    </row>
    <row r="85" spans="1:9" x14ac:dyDescent="0.25">
      <c r="A85" s="2">
        <v>84</v>
      </c>
      <c r="B85" s="3">
        <v>44934</v>
      </c>
      <c r="C85" s="2" t="s">
        <v>12</v>
      </c>
      <c r="D85" s="2">
        <v>6.99</v>
      </c>
      <c r="E85" s="2">
        <v>596</v>
      </c>
      <c r="F85" s="2" t="s">
        <v>8</v>
      </c>
      <c r="G85" s="2" t="s">
        <v>27</v>
      </c>
      <c r="H85" s="2" t="s">
        <v>24</v>
      </c>
      <c r="I85" s="2">
        <f>Orders[[#This Row],[price]]*Orders[[#This Row],[quantity]]</f>
        <v>4166.04</v>
      </c>
    </row>
    <row r="86" spans="1:9" x14ac:dyDescent="0.25">
      <c r="A86" s="2">
        <v>85</v>
      </c>
      <c r="B86" s="3">
        <v>44934</v>
      </c>
      <c r="C86" s="2" t="s">
        <v>11</v>
      </c>
      <c r="D86" s="2">
        <v>1.99</v>
      </c>
      <c r="E86" s="2">
        <v>723</v>
      </c>
      <c r="F86" s="2" t="s">
        <v>9</v>
      </c>
      <c r="G86" s="2" t="s">
        <v>25</v>
      </c>
      <c r="H86" s="2" t="s">
        <v>28</v>
      </c>
      <c r="I86" s="2">
        <f>Orders[[#This Row],[price]]*Orders[[#This Row],[quantity]]</f>
        <v>1438.77</v>
      </c>
    </row>
    <row r="87" spans="1:9" x14ac:dyDescent="0.25">
      <c r="A87" s="2">
        <v>86</v>
      </c>
      <c r="B87" s="3">
        <v>44934</v>
      </c>
      <c r="C87" s="2" t="s">
        <v>6</v>
      </c>
      <c r="D87" s="2">
        <v>14.99</v>
      </c>
      <c r="E87" s="2">
        <v>364</v>
      </c>
      <c r="F87" s="2" t="s">
        <v>14</v>
      </c>
      <c r="G87" s="2" t="s">
        <v>23</v>
      </c>
      <c r="H87" s="2" t="s">
        <v>16</v>
      </c>
      <c r="I87" s="2">
        <f>Orders[[#This Row],[price]]*Orders[[#This Row],[quantity]]</f>
        <v>5456.36</v>
      </c>
    </row>
    <row r="88" spans="1:9" x14ac:dyDescent="0.25">
      <c r="A88" s="2">
        <v>87</v>
      </c>
      <c r="B88" s="3">
        <v>44934</v>
      </c>
      <c r="C88" s="2" t="s">
        <v>10</v>
      </c>
      <c r="D88" s="2">
        <v>3.99</v>
      </c>
      <c r="E88" s="2">
        <v>519</v>
      </c>
      <c r="F88" s="2" t="s">
        <v>8</v>
      </c>
      <c r="G88" s="2" t="s">
        <v>21</v>
      </c>
      <c r="H88" s="2" t="s">
        <v>26</v>
      </c>
      <c r="I88" s="2">
        <f>Orders[[#This Row],[price]]*Orders[[#This Row],[quantity]]</f>
        <v>2070.81</v>
      </c>
    </row>
    <row r="89" spans="1:9" x14ac:dyDescent="0.25">
      <c r="A89" s="2">
        <v>88</v>
      </c>
      <c r="B89" s="3">
        <v>44934</v>
      </c>
      <c r="C89" s="2" t="s">
        <v>13</v>
      </c>
      <c r="D89" s="2">
        <v>12.99</v>
      </c>
      <c r="E89" s="2">
        <v>647</v>
      </c>
      <c r="F89" s="2" t="s">
        <v>9</v>
      </c>
      <c r="G89" s="2" t="s">
        <v>19</v>
      </c>
      <c r="H89" s="2" t="s">
        <v>22</v>
      </c>
      <c r="I89" s="2">
        <f>Orders[[#This Row],[price]]*Orders[[#This Row],[quantity]]</f>
        <v>8404.5300000000007</v>
      </c>
    </row>
    <row r="90" spans="1:9" x14ac:dyDescent="0.25">
      <c r="A90" s="2">
        <v>89</v>
      </c>
      <c r="B90" s="3">
        <v>44934</v>
      </c>
      <c r="C90" s="2" t="s">
        <v>12</v>
      </c>
      <c r="D90" s="2">
        <v>6.99</v>
      </c>
      <c r="E90" s="2">
        <v>283</v>
      </c>
      <c r="F90" s="2" t="s">
        <v>7</v>
      </c>
      <c r="G90" s="2" t="s">
        <v>17</v>
      </c>
      <c r="H90" s="2" t="s">
        <v>18</v>
      </c>
      <c r="I90" s="2">
        <f>Orders[[#This Row],[price]]*Orders[[#This Row],[quantity]]</f>
        <v>1978.17</v>
      </c>
    </row>
    <row r="91" spans="1:9" x14ac:dyDescent="0.25">
      <c r="A91" s="2">
        <v>90</v>
      </c>
      <c r="B91" s="3">
        <v>44934</v>
      </c>
      <c r="C91" s="2" t="s">
        <v>11</v>
      </c>
      <c r="D91" s="2">
        <v>1.99</v>
      </c>
      <c r="E91" s="2">
        <v>775</v>
      </c>
      <c r="F91" s="2" t="s">
        <v>8</v>
      </c>
      <c r="G91" s="2" t="s">
        <v>33</v>
      </c>
      <c r="H91" s="2" t="s">
        <v>24</v>
      </c>
      <c r="I91" s="2">
        <f>Orders[[#This Row],[price]]*Orders[[#This Row],[quantity]]</f>
        <v>1542.25</v>
      </c>
    </row>
    <row r="92" spans="1:9" x14ac:dyDescent="0.25">
      <c r="A92" s="2">
        <v>91</v>
      </c>
      <c r="B92" s="3">
        <v>44935</v>
      </c>
      <c r="C92" s="2" t="s">
        <v>6</v>
      </c>
      <c r="D92" s="2">
        <v>14.99</v>
      </c>
      <c r="E92" s="2">
        <v>492</v>
      </c>
      <c r="F92" s="2" t="s">
        <v>9</v>
      </c>
      <c r="G92" s="2" t="s">
        <v>32</v>
      </c>
      <c r="H92" s="2" t="s">
        <v>20</v>
      </c>
      <c r="I92" s="2">
        <f>Orders[[#This Row],[price]]*Orders[[#This Row],[quantity]]</f>
        <v>7375.08</v>
      </c>
    </row>
    <row r="93" spans="1:9" x14ac:dyDescent="0.25">
      <c r="A93" s="2">
        <v>92</v>
      </c>
      <c r="B93" s="3">
        <v>44935</v>
      </c>
      <c r="C93" s="2" t="s">
        <v>10</v>
      </c>
      <c r="D93" s="2">
        <v>3.99</v>
      </c>
      <c r="E93" s="2">
        <v>336</v>
      </c>
      <c r="F93" s="2" t="s">
        <v>7</v>
      </c>
      <c r="G93" s="2" t="s">
        <v>31</v>
      </c>
      <c r="H93" s="2" t="s">
        <v>16</v>
      </c>
      <c r="I93" s="2">
        <f>Orders[[#This Row],[price]]*Orders[[#This Row],[quantity]]</f>
        <v>1340.64</v>
      </c>
    </row>
    <row r="94" spans="1:9" x14ac:dyDescent="0.25">
      <c r="A94" s="2">
        <v>93</v>
      </c>
      <c r="B94" s="3">
        <v>44935</v>
      </c>
      <c r="C94" s="2" t="s">
        <v>13</v>
      </c>
      <c r="D94" s="2">
        <v>12.99</v>
      </c>
      <c r="E94" s="2">
        <v>708</v>
      </c>
      <c r="F94" s="2" t="s">
        <v>8</v>
      </c>
      <c r="G94" s="2" t="s">
        <v>30</v>
      </c>
      <c r="H94" s="2" t="s">
        <v>18</v>
      </c>
      <c r="I94" s="2">
        <f>Orders[[#This Row],[price]]*Orders[[#This Row],[quantity]]</f>
        <v>9196.92</v>
      </c>
    </row>
    <row r="95" spans="1:9" x14ac:dyDescent="0.25">
      <c r="A95" s="2">
        <v>94</v>
      </c>
      <c r="B95" s="3">
        <v>44935</v>
      </c>
      <c r="C95" s="2" t="s">
        <v>12</v>
      </c>
      <c r="D95" s="2">
        <v>6.99</v>
      </c>
      <c r="E95" s="2">
        <v>451</v>
      </c>
      <c r="F95" s="2" t="s">
        <v>9</v>
      </c>
      <c r="G95" s="2" t="s">
        <v>29</v>
      </c>
      <c r="H95" s="2" t="s">
        <v>28</v>
      </c>
      <c r="I95" s="2">
        <f>Orders[[#This Row],[price]]*Orders[[#This Row],[quantity]]</f>
        <v>3152.4900000000002</v>
      </c>
    </row>
    <row r="96" spans="1:9" x14ac:dyDescent="0.25">
      <c r="A96" s="2">
        <v>95</v>
      </c>
      <c r="B96" s="3">
        <v>44935</v>
      </c>
      <c r="C96" s="2" t="s">
        <v>11</v>
      </c>
      <c r="D96" s="2">
        <v>1.99</v>
      </c>
      <c r="E96" s="2">
        <v>629</v>
      </c>
      <c r="F96" s="2" t="s">
        <v>14</v>
      </c>
      <c r="G96" s="2" t="s">
        <v>27</v>
      </c>
      <c r="H96" s="2" t="s">
        <v>26</v>
      </c>
      <c r="I96" s="2">
        <f>Orders[[#This Row],[price]]*Orders[[#This Row],[quantity]]</f>
        <v>1251.71</v>
      </c>
    </row>
    <row r="97" spans="1:9" x14ac:dyDescent="0.25">
      <c r="A97" s="2">
        <v>96</v>
      </c>
      <c r="B97" s="3">
        <v>44935</v>
      </c>
      <c r="C97" s="2" t="s">
        <v>6</v>
      </c>
      <c r="D97" s="2">
        <v>14.99</v>
      </c>
      <c r="E97" s="2">
        <v>574</v>
      </c>
      <c r="F97" s="2" t="s">
        <v>8</v>
      </c>
      <c r="G97" s="2" t="s">
        <v>25</v>
      </c>
      <c r="H97" s="2" t="s">
        <v>24</v>
      </c>
      <c r="I97" s="2">
        <f>Orders[[#This Row],[price]]*Orders[[#This Row],[quantity]]</f>
        <v>8604.26</v>
      </c>
    </row>
    <row r="98" spans="1:9" x14ac:dyDescent="0.25">
      <c r="A98" s="2">
        <v>97</v>
      </c>
      <c r="B98" s="3">
        <v>44935</v>
      </c>
      <c r="C98" s="2" t="s">
        <v>10</v>
      </c>
      <c r="D98" s="2">
        <v>3.99</v>
      </c>
      <c r="E98" s="2">
        <v>398</v>
      </c>
      <c r="F98" s="2" t="s">
        <v>9</v>
      </c>
      <c r="G98" s="2" t="s">
        <v>23</v>
      </c>
      <c r="H98" s="2" t="s">
        <v>22</v>
      </c>
      <c r="I98" s="2">
        <f>Orders[[#This Row],[price]]*Orders[[#This Row],[quantity]]</f>
        <v>1588.02</v>
      </c>
    </row>
    <row r="99" spans="1:9" x14ac:dyDescent="0.25">
      <c r="A99" s="2">
        <v>98</v>
      </c>
      <c r="B99" s="3">
        <v>44935</v>
      </c>
      <c r="C99" s="2" t="s">
        <v>13</v>
      </c>
      <c r="D99" s="2">
        <v>12.99</v>
      </c>
      <c r="E99" s="2">
        <v>683</v>
      </c>
      <c r="F99" s="2" t="s">
        <v>7</v>
      </c>
      <c r="G99" s="2" t="s">
        <v>21</v>
      </c>
      <c r="H99" s="2" t="s">
        <v>20</v>
      </c>
      <c r="I99" s="2">
        <f>Orders[[#This Row],[price]]*Orders[[#This Row],[quantity]]</f>
        <v>8872.17</v>
      </c>
    </row>
    <row r="100" spans="1:9" x14ac:dyDescent="0.25">
      <c r="A100" s="2">
        <v>99</v>
      </c>
      <c r="B100" s="3">
        <v>44935</v>
      </c>
      <c r="C100" s="2" t="s">
        <v>12</v>
      </c>
      <c r="D100" s="2">
        <v>6.99</v>
      </c>
      <c r="E100" s="2">
        <v>517</v>
      </c>
      <c r="F100" s="2" t="s">
        <v>8</v>
      </c>
      <c r="G100" s="2" t="s">
        <v>19</v>
      </c>
      <c r="H100" s="2" t="s">
        <v>18</v>
      </c>
      <c r="I100" s="2">
        <f>Orders[[#This Row],[price]]*Orders[[#This Row],[quantity]]</f>
        <v>3613.83</v>
      </c>
    </row>
    <row r="101" spans="1:9" x14ac:dyDescent="0.25">
      <c r="A101" s="2">
        <v>100</v>
      </c>
      <c r="B101" s="3">
        <v>44935</v>
      </c>
      <c r="C101" s="2" t="s">
        <v>11</v>
      </c>
      <c r="D101" s="2">
        <v>1.99</v>
      </c>
      <c r="E101" s="2">
        <v>762</v>
      </c>
      <c r="F101" s="2" t="s">
        <v>9</v>
      </c>
      <c r="G101" s="2" t="s">
        <v>17</v>
      </c>
      <c r="H101" s="2" t="s">
        <v>16</v>
      </c>
      <c r="I101" s="2">
        <f>Orders[[#This Row],[price]]*Orders[[#This Row],[quantity]]</f>
        <v>1516.3799999999999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5E23-54B8-4F70-8A9B-0B3E6C73A3F9}">
  <dimension ref="B2:C27"/>
  <sheetViews>
    <sheetView workbookViewId="0">
      <selection activeCell="K18" sqref="K18"/>
    </sheetView>
  </sheetViews>
  <sheetFormatPr defaultRowHeight="15" x14ac:dyDescent="0.25"/>
  <cols>
    <col min="2" max="2" width="13.5703125" bestFit="1" customWidth="1"/>
    <col min="3" max="3" width="15.85546875" bestFit="1" customWidth="1"/>
    <col min="5" max="5" width="13.42578125" bestFit="1" customWidth="1"/>
    <col min="6" max="6" width="15.85546875" bestFit="1" customWidth="1"/>
  </cols>
  <sheetData>
    <row r="2" spans="2:3" x14ac:dyDescent="0.25">
      <c r="B2" s="6" t="s">
        <v>52</v>
      </c>
      <c r="C2" t="s">
        <v>53</v>
      </c>
    </row>
    <row r="3" spans="2:3" x14ac:dyDescent="0.25">
      <c r="B3" s="8">
        <v>44927</v>
      </c>
      <c r="C3" s="9">
        <v>58043.569999999992</v>
      </c>
    </row>
    <row r="4" spans="2:3" x14ac:dyDescent="0.25">
      <c r="B4" s="8">
        <v>44928</v>
      </c>
      <c r="C4" s="9">
        <v>41602.559999999998</v>
      </c>
    </row>
    <row r="5" spans="2:3" x14ac:dyDescent="0.25">
      <c r="B5" s="8">
        <v>44929</v>
      </c>
      <c r="C5" s="9">
        <v>46342.080000000002</v>
      </c>
    </row>
    <row r="6" spans="2:3" x14ac:dyDescent="0.25">
      <c r="B6" s="8">
        <v>44930</v>
      </c>
      <c r="C6" s="9">
        <v>44815.71</v>
      </c>
    </row>
    <row r="7" spans="2:3" x14ac:dyDescent="0.25">
      <c r="B7" s="8">
        <v>44931</v>
      </c>
      <c r="C7" s="9">
        <v>47935.9</v>
      </c>
    </row>
    <row r="8" spans="2:3" x14ac:dyDescent="0.25">
      <c r="B8" s="8">
        <v>44932</v>
      </c>
      <c r="C8" s="9">
        <v>42957.090000000004</v>
      </c>
    </row>
    <row r="9" spans="2:3" x14ac:dyDescent="0.25">
      <c r="B9" s="8">
        <v>44933</v>
      </c>
      <c r="C9" s="9">
        <v>46031.990000000013</v>
      </c>
    </row>
    <row r="10" spans="2:3" x14ac:dyDescent="0.25">
      <c r="B10" s="8">
        <v>44934</v>
      </c>
      <c r="C10" s="9">
        <v>41363.47</v>
      </c>
    </row>
    <row r="11" spans="2:3" x14ac:dyDescent="0.25">
      <c r="B11" s="8">
        <v>44935</v>
      </c>
      <c r="C11" s="9">
        <v>46511.5</v>
      </c>
    </row>
    <row r="19" spans="2:3" x14ac:dyDescent="0.25">
      <c r="B19" s="6" t="s">
        <v>52</v>
      </c>
      <c r="C19" t="s">
        <v>53</v>
      </c>
    </row>
    <row r="20" spans="2:3" x14ac:dyDescent="0.25">
      <c r="B20" s="7" t="s">
        <v>18</v>
      </c>
      <c r="C20" s="9">
        <v>86303.44</v>
      </c>
    </row>
    <row r="21" spans="2:3" x14ac:dyDescent="0.25">
      <c r="B21" s="7" t="s">
        <v>24</v>
      </c>
      <c r="C21" s="9">
        <v>81430.37</v>
      </c>
    </row>
    <row r="22" spans="2:3" x14ac:dyDescent="0.25">
      <c r="B22" s="7" t="s">
        <v>20</v>
      </c>
      <c r="C22" s="9">
        <v>80083.91</v>
      </c>
    </row>
    <row r="23" spans="2:3" x14ac:dyDescent="0.25">
      <c r="B23" s="7" t="s">
        <v>22</v>
      </c>
      <c r="C23" s="9">
        <v>54360.659999999996</v>
      </c>
    </row>
    <row r="24" spans="2:3" x14ac:dyDescent="0.25">
      <c r="B24" s="7" t="s">
        <v>16</v>
      </c>
      <c r="C24" s="9">
        <v>50209.38</v>
      </c>
    </row>
    <row r="25" spans="2:3" x14ac:dyDescent="0.25">
      <c r="B25" s="7" t="s">
        <v>26</v>
      </c>
      <c r="C25" s="9">
        <v>32658.83</v>
      </c>
    </row>
    <row r="26" spans="2:3" x14ac:dyDescent="0.25">
      <c r="B26" s="7" t="s">
        <v>28</v>
      </c>
      <c r="C26" s="9">
        <v>23523.630000000005</v>
      </c>
    </row>
    <row r="27" spans="2:3" x14ac:dyDescent="0.25">
      <c r="B27" s="7" t="s">
        <v>34</v>
      </c>
      <c r="C27" s="9">
        <v>7033.65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5364-6512-4BC6-B94E-0E9AB46C6FB6}">
  <dimension ref="A3:B13"/>
  <sheetViews>
    <sheetView workbookViewId="0">
      <selection activeCell="B3" sqref="B3"/>
    </sheetView>
  </sheetViews>
  <sheetFormatPr defaultRowHeight="15" x14ac:dyDescent="0.25"/>
  <cols>
    <col min="2" max="2" width="17" customWidth="1"/>
  </cols>
  <sheetData>
    <row r="3" spans="1:2" x14ac:dyDescent="0.25">
      <c r="B3" t="s">
        <v>29</v>
      </c>
    </row>
    <row r="4" spans="1:2" x14ac:dyDescent="0.25">
      <c r="B4">
        <f>SUMIFS(Orders[Revenue],Orders[Manager],Sheet3!$B$3,Orders[product],DashBoards!$C2)</f>
        <v>6580.61</v>
      </c>
    </row>
    <row r="5" spans="1:2" x14ac:dyDescent="0.25">
      <c r="B5">
        <f>SUMIFS(Orders[Revenue],Orders[Manager],Sheet3!$B$3,Orders[product],DashBoards!$C3)</f>
        <v>6580.61</v>
      </c>
    </row>
    <row r="6" spans="1:2" x14ac:dyDescent="0.25">
      <c r="B6">
        <f>SUMIFS(Orders[Revenue],Orders[Manager],Sheet3!$B$3,Orders[product],DashBoards!$C4)</f>
        <v>6580.61</v>
      </c>
    </row>
    <row r="7" spans="1:2" x14ac:dyDescent="0.25">
      <c r="B7">
        <f>SUMIFS(Orders[Revenue],Orders[Manager],Sheet3!$B$3,Orders[product],DashBoards!$C5)</f>
        <v>1256.8500000000001</v>
      </c>
    </row>
    <row r="8" spans="1:2" x14ac:dyDescent="0.25">
      <c r="B8">
        <f>SUMIFS(Orders[Revenue],Orders[Manager],Sheet3!$B$3,Orders[product],DashBoards!$C6)</f>
        <v>0</v>
      </c>
    </row>
    <row r="9" spans="1:2" x14ac:dyDescent="0.25">
      <c r="B9">
        <f>SUMIFS(Orders[Revenue],Orders[Manager],Sheet3!$B$3,Orders[product],DashBoards!$C7)</f>
        <v>0</v>
      </c>
    </row>
    <row r="10" spans="1:2" x14ac:dyDescent="0.25">
      <c r="B10">
        <f>SUMIFS(Orders[Revenue],Orders[Manager],Sheet3!$B$3,Orders[product],DashBoards!$C8)</f>
        <v>1256.8500000000001</v>
      </c>
    </row>
    <row r="11" spans="1:2" x14ac:dyDescent="0.25">
      <c r="B11">
        <f>SUMIFS(Orders[Revenue],Orders[Manager],Sheet3!$B$3,Orders[product],DashBoards!$C9)</f>
        <v>14818.800000000001</v>
      </c>
    </row>
    <row r="12" spans="1:2" x14ac:dyDescent="0.25">
      <c r="B12">
        <f>SUMIFS(Orders[Revenue],Orders[Manager],Sheet3!$B$3,Orders[product],DashBoards!$C10)</f>
        <v>5689.62</v>
      </c>
    </row>
    <row r="13" spans="1:2" x14ac:dyDescent="0.25">
      <c r="A13" t="s">
        <v>54</v>
      </c>
      <c r="B13">
        <f>SUM(B4:B12)</f>
        <v>42763.95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67E623-06E0-4EE3-ABF0-DFBE95EF9F82}">
          <x14:formula1>
            <xm:f>DashBoards!$G$2:$G$1048576</xm:f>
          </x14:formula1>
          <xm:sqref>B3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D3026B365FF41AC61282F08FC7437" ma:contentTypeVersion="4" ma:contentTypeDescription="Create a new document." ma:contentTypeScope="" ma:versionID="e6c911a31fb87a4e1a4f76f6668f56bc">
  <xsd:schema xmlns:xsd="http://www.w3.org/2001/XMLSchema" xmlns:xs="http://www.w3.org/2001/XMLSchema" xmlns:p="http://schemas.microsoft.com/office/2006/metadata/properties" xmlns:ns3="407977bd-e51e-4405-88fc-c933b3d8ca2b" targetNamespace="http://schemas.microsoft.com/office/2006/metadata/properties" ma:root="true" ma:fieldsID="98a15a81d47db8052cf15c93b2c425bb" ns3:_="">
    <xsd:import namespace="407977bd-e51e-4405-88fc-c933b3d8ca2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977bd-e51e-4405-88fc-c933b3d8ca2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439CF7-EF56-4202-9D8E-33B0F9B9B0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6C8BC2-C923-4E02-B2D9-C3E74FE529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7977bd-e51e-4405-88fc-c933b3d8ca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A7C421-DAE6-402B-B046-C6EA841B3ADE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407977bd-e51e-4405-88fc-c933b3d8ca2b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S0320520</dc:creator>
  <cp:lastModifiedBy>S0320520</cp:lastModifiedBy>
  <dcterms:created xsi:type="dcterms:W3CDTF">2026-09-22T08:30:36Z</dcterms:created>
  <dcterms:modified xsi:type="dcterms:W3CDTF">2026-10-04T16:41:12Z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0x010100CD4D3026B365FF41AC61282F08FC7437</vt:lpwstr>
  </property>
</Properties>
</file>